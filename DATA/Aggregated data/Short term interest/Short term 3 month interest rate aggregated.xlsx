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Aggregated data\Short term interest\"/>
    </mc:Choice>
  </mc:AlternateContent>
  <xr:revisionPtr revIDLastSave="0" documentId="13_ncr:1_{E7133B9B-EEF6-4BE6-BE50-23358A397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" l="1"/>
  <c r="Z8" i="1"/>
  <c r="AA8" i="1"/>
  <c r="Y7" i="1"/>
  <c r="Z7" i="1"/>
  <c r="AA7" i="1"/>
  <c r="Y6" i="1"/>
  <c r="Z6" i="1"/>
  <c r="AA6" i="1"/>
  <c r="Y5" i="1"/>
  <c r="Z5" i="1"/>
  <c r="AA5" i="1"/>
  <c r="Y4" i="1"/>
  <c r="Z4" i="1"/>
  <c r="AA4" i="1"/>
  <c r="X8" i="1"/>
  <c r="X7" i="1"/>
  <c r="X6" i="1"/>
  <c r="X5" i="1"/>
  <c r="X4" i="1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<sst xmlns="http://schemas.openxmlformats.org/spreadsheetml/2006/main" count="146" uniqueCount="142">
  <si>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</si>
  <si>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</si>
  <si>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</si>
  <si>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</si>
  <si>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</si>
  <si>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</si>
  <si>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</si>
  <si>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</si>
  <si>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</si>
  <si>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</si>
  <si>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</si>
  <si>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</si>
  <si>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</si>
  <si>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</si>
  <si>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</si>
  <si>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</si>
  <si>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</si>
  <si>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</si>
  <si>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</si>
  <si>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</si>
  <si>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</si>
  <si>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</si>
  <si>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</si>
  <si>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</si>
  <si>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</si>
  <si>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</si>
  <si>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</si>
  <si>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</si>
  <si>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</si>
  <si>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</si>
  <si>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</si>
  <si>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</si>
  <si>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</si>
  <si>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</si>
  <si>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</si>
  <si>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</si>
  <si>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</si>
  <si>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</si>
  <si>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</si>
  <si>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</si>
  <si>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</si>
  <si>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</si>
  <si>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</si>
  <si>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</si>
  <si>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</si>
  <si>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</si>
  <si>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</si>
  <si>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</si>
  <si>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</si>
  <si>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</si>
  <si>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</si>
  <si>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</si>
  <si>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</si>
  <si>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</si>
  <si>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</si>
  <si>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</si>
  <si>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</si>
  <si>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</si>
  <si>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</si>
  <si>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</si>
  <si>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</si>
  <si>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</si>
  <si>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</si>
  <si>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</si>
  <si>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</si>
  <si>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</si>
  <si>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</si>
  <si>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</si>
  <si>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</si>
  <si>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</si>
  <si>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</si>
  <si>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</si>
  <si>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</si>
  <si>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</si>
  <si>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</si>
  <si>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</si>
  <si>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</si>
  <si>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</si>
  <si>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</si>
  <si>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</si>
  <si>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</si>
  <si>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</si>
  <si>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</si>
  <si>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</si>
  <si>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</si>
  <si>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</si>
  <si>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</si>
  <si>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</si>
  <si>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</si>
  <si>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</si>
  <si>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</si>
  <si>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</si>
  <si>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</si>
  <si>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</si>
  <si>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</si>
  <si>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</si>
  <si>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</si>
  <si>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</si>
  <si>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</si>
  <si>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</si>
  <si>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</si>
  <si>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</si>
  <si>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</si>
  <si>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</si>
  <si>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</si>
  <si>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</si>
  <si>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</si>
  <si>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</si>
  <si>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</si>
  <si>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</si>
  <si>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</si>
  <si>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</si>
  <si>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</si>
  <si>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</si>
  <si>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</si>
  <si>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</si>
  <si>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</si>
  <si>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</si>
  <si>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</si>
  <si>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</si>
  <si>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</si>
  <si>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</si>
  <si>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</si>
  <si>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</si>
  <si>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</si>
  <si>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</si>
  <si>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</si>
  <si>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</si>
  <si>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</si>
  <si>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</si>
  <si>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Date</t>
  </si>
  <si>
    <t>Indonesia</t>
  </si>
  <si>
    <t>Korea</t>
  </si>
  <si>
    <t>Philippines</t>
  </si>
  <si>
    <t>Thailand</t>
  </si>
  <si>
    <t>Thailand starting 2025</t>
  </si>
  <si>
    <t>The 3-month interest rates show clear cross-country heterogeneity over the sample period. Indonesia maintains persistently higher short-term rates than the other economies, with values ranging between 5% and 8%, reflecting a tighter monetary stance and higher structural inflation. Korea and the Philippines operate within a much lower range (approximately 1%–4%). Korea’s rate remains relatively stable until a noticeable tightening cycle emerges in 2022–2023. The Philippines exhibits a pronounced spike in 2022, driven by rapid policy rate increases by the Bangko Sentral ng Pilipinas in response to post-pandemic inflation pressures. Thailand shows the lowest short-term rates for most of the period, with a sharp decline during 2020 followed by a gradual and modest increase after 2022. These patterns highlight substantial differences in monetary policy regimes, which later help explain the varying inflation dynamics captured in the ARMAX model.</t>
  </si>
  <si>
    <t>Min</t>
  </si>
  <si>
    <t>Max</t>
  </si>
  <si>
    <t>Mean</t>
  </si>
  <si>
    <t>Std 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</si>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</sst>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.5"/>
      <color rgb="FF555555"/>
      <name val="Noto Sans KR"/>
    </font>
    <font>
      <sz val="10.5"/>
      <color rgb="FF888282"/>
      <name val="Noto Sans KR"/>
    </font>
    <font>
      <sz val="8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0" borderId="3" xfId="0" applyBorder="1"/>
    <xf numFmtId="39" fontId="3" fillId="0" borderId="0" xfId="0" applyNumberFormat="1" applyFon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3-month</a:t>
            </a:r>
            <a:r>
              <a:rPr lang="nl-BE" baseline="0"/>
              <a:t> interest rate of all countries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List1!$B$1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List1!$A$2:$A$129</c:f>
              <c:strCache>
                <c:ptCount val="128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</c:strCache>
            </c:strRef>
          </c:cat>
          <c:val>
            <c:numRef>
              <c:f>List1!$B$2:$B$129</c:f>
              <c:numCache>
                <c:formatCode>0.00</c:formatCode>
                <c:ptCount val="128"/>
                <c:pt idx="0">
                  <c:v>7.1220271430000004</c:v>
                </c:pt>
                <c:pt idx="1">
                  <c:v>7.0056931579999997</c:v>
                </c:pt>
                <c:pt idx="2">
                  <c:v>6.8054145449999996</c:v>
                </c:pt>
                <c:pt idx="3">
                  <c:v>6.865175238</c:v>
                </c:pt>
                <c:pt idx="4">
                  <c:v>6.9084557889999996</c:v>
                </c:pt>
                <c:pt idx="5">
                  <c:v>6.9415066670000014</c:v>
                </c:pt>
                <c:pt idx="6">
                  <c:v>7.3736495</c:v>
                </c:pt>
                <c:pt idx="7">
                  <c:v>7.4568005000000017</c:v>
                </c:pt>
                <c:pt idx="8">
                  <c:v>7.7430738100000003</c:v>
                </c:pt>
                <c:pt idx="9">
                  <c:v>8.1910633329999989</c:v>
                </c:pt>
                <c:pt idx="10">
                  <c:v>8.3681090479999991</c:v>
                </c:pt>
                <c:pt idx="11">
                  <c:v>8.7066145000000006</c:v>
                </c:pt>
                <c:pt idx="12">
                  <c:v>8.5839020000000001</c:v>
                </c:pt>
                <c:pt idx="13">
                  <c:v>8.1297060000000005</c:v>
                </c:pt>
                <c:pt idx="14">
                  <c:v>7.027694286</c:v>
                </c:pt>
                <c:pt idx="15">
                  <c:v>6.6233361899999998</c:v>
                </c:pt>
                <c:pt idx="16">
                  <c:v>6.6499174999999999</c:v>
                </c:pt>
                <c:pt idx="17">
                  <c:v>7.0432472730000004</c:v>
                </c:pt>
                <c:pt idx="18">
                  <c:v>7.1852600000000004</c:v>
                </c:pt>
                <c:pt idx="19">
                  <c:v>7.1183472729999986</c:v>
                </c:pt>
                <c:pt idx="20">
                  <c:v>7.1342909520000006</c:v>
                </c:pt>
                <c:pt idx="21">
                  <c:v>7.0196152379999992</c:v>
                </c:pt>
                <c:pt idx="22">
                  <c:v>6.9684236359999998</c:v>
                </c:pt>
                <c:pt idx="23">
                  <c:v>7.2072684999999996</c:v>
                </c:pt>
                <c:pt idx="24">
                  <c:v>6.9370014289999986</c:v>
                </c:pt>
                <c:pt idx="25">
                  <c:v>6.8274747370000002</c:v>
                </c:pt>
                <c:pt idx="26">
                  <c:v>6.8582440910000004</c:v>
                </c:pt>
                <c:pt idx="27">
                  <c:v>6.8545005560000014</c:v>
                </c:pt>
                <c:pt idx="28">
                  <c:v>6.8561860000000001</c:v>
                </c:pt>
                <c:pt idx="29">
                  <c:v>6.8872918749999998</c:v>
                </c:pt>
                <c:pt idx="30">
                  <c:v>6.9004190479999998</c:v>
                </c:pt>
                <c:pt idx="31">
                  <c:v>6.2344813639999996</c:v>
                </c:pt>
                <c:pt idx="32">
                  <c:v>5.3786363160000006</c:v>
                </c:pt>
                <c:pt idx="33">
                  <c:v>5.193181364</c:v>
                </c:pt>
                <c:pt idx="34">
                  <c:v>5.1976263640000004</c:v>
                </c:pt>
                <c:pt idx="35">
                  <c:v>5.3784110529999998</c:v>
                </c:pt>
                <c:pt idx="36">
                  <c:v>5.3085063639999994</c:v>
                </c:pt>
                <c:pt idx="37">
                  <c:v>5.3054336839999996</c:v>
                </c:pt>
                <c:pt idx="38">
                  <c:v>5.3236019050000003</c:v>
                </c:pt>
                <c:pt idx="39">
                  <c:v>5.4532833329999999</c:v>
                </c:pt>
                <c:pt idx="40">
                  <c:v>6.2488570000000001</c:v>
                </c:pt>
                <c:pt idx="41">
                  <c:v>7.1022192860000004</c:v>
                </c:pt>
                <c:pt idx="42">
                  <c:v>7.2372459089999994</c:v>
                </c:pt>
                <c:pt idx="43">
                  <c:v>7.0705876189999994</c:v>
                </c:pt>
                <c:pt idx="44">
                  <c:v>7.1381789470000001</c:v>
                </c:pt>
                <c:pt idx="45">
                  <c:v>7.4594313039999998</c:v>
                </c:pt>
                <c:pt idx="46">
                  <c:v>7.61</c:v>
                </c:pt>
                <c:pt idx="47">
                  <c:v>7.69</c:v>
                </c:pt>
                <c:pt idx="48">
                  <c:v>7.49</c:v>
                </c:pt>
                <c:pt idx="49">
                  <c:v>7.36</c:v>
                </c:pt>
                <c:pt idx="50">
                  <c:v>7.23</c:v>
                </c:pt>
                <c:pt idx="51">
                  <c:v>7.21</c:v>
                </c:pt>
                <c:pt idx="52">
                  <c:v>7.24</c:v>
                </c:pt>
                <c:pt idx="53">
                  <c:v>7.11</c:v>
                </c:pt>
                <c:pt idx="54">
                  <c:v>6.64</c:v>
                </c:pt>
                <c:pt idx="55">
                  <c:v>6.29</c:v>
                </c:pt>
                <c:pt idx="56">
                  <c:v>6.04</c:v>
                </c:pt>
                <c:pt idx="57">
                  <c:v>5.74</c:v>
                </c:pt>
                <c:pt idx="58">
                  <c:v>5.5</c:v>
                </c:pt>
                <c:pt idx="59">
                  <c:v>5.5</c:v>
                </c:pt>
                <c:pt idx="60">
                  <c:v>5.47</c:v>
                </c:pt>
                <c:pt idx="61">
                  <c:v>5.33</c:v>
                </c:pt>
                <c:pt idx="62">
                  <c:v>5.0199999999999996</c:v>
                </c:pt>
                <c:pt idx="63">
                  <c:v>4.9000000000000004</c:v>
                </c:pt>
                <c:pt idx="64">
                  <c:v>4.9000000000000004</c:v>
                </c:pt>
                <c:pt idx="65">
                  <c:v>4.8099999999999996</c:v>
                </c:pt>
                <c:pt idx="66">
                  <c:v>4.53</c:v>
                </c:pt>
                <c:pt idx="67">
                  <c:v>4.34</c:v>
                </c:pt>
                <c:pt idx="68">
                  <c:v>4.3099999999999996</c:v>
                </c:pt>
                <c:pt idx="69">
                  <c:v>4.3</c:v>
                </c:pt>
                <c:pt idx="70">
                  <c:v>4.22</c:v>
                </c:pt>
                <c:pt idx="71">
                  <c:v>4.0599999999999996</c:v>
                </c:pt>
                <c:pt idx="72">
                  <c:v>4.05</c:v>
                </c:pt>
                <c:pt idx="73">
                  <c:v>3.96</c:v>
                </c:pt>
                <c:pt idx="74">
                  <c:v>3.76</c:v>
                </c:pt>
                <c:pt idx="75">
                  <c:v>3.75</c:v>
                </c:pt>
                <c:pt idx="76">
                  <c:v>3.75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3.75</c:v>
                </c:pt>
                <c:pt idx="90">
                  <c:v>3.76</c:v>
                </c:pt>
                <c:pt idx="91">
                  <c:v>3.98</c:v>
                </c:pt>
                <c:pt idx="92">
                  <c:v>4.4800000000000004</c:v>
                </c:pt>
                <c:pt idx="93">
                  <c:v>5.32</c:v>
                </c:pt>
                <c:pt idx="94">
                  <c:v>5.87</c:v>
                </c:pt>
                <c:pt idx="95">
                  <c:v>6.4</c:v>
                </c:pt>
                <c:pt idx="96">
                  <c:v>6.65</c:v>
                </c:pt>
                <c:pt idx="97">
                  <c:v>6.76</c:v>
                </c:pt>
                <c:pt idx="98">
                  <c:v>6.77</c:v>
                </c:pt>
                <c:pt idx="99">
                  <c:v>6.76</c:v>
                </c:pt>
                <c:pt idx="100">
                  <c:v>6.76</c:v>
                </c:pt>
                <c:pt idx="101">
                  <c:v>6.75</c:v>
                </c:pt>
                <c:pt idx="102">
                  <c:v>6.75</c:v>
                </c:pt>
                <c:pt idx="103">
                  <c:v>6.74</c:v>
                </c:pt>
                <c:pt idx="104">
                  <c:v>6.74</c:v>
                </c:pt>
                <c:pt idx="105">
                  <c:v>6.81</c:v>
                </c:pt>
                <c:pt idx="106">
                  <c:v>6.95</c:v>
                </c:pt>
                <c:pt idx="107">
                  <c:v>6.95</c:v>
                </c:pt>
                <c:pt idx="108">
                  <c:v>6.94</c:v>
                </c:pt>
                <c:pt idx="109">
                  <c:v>6.94</c:v>
                </c:pt>
                <c:pt idx="110">
                  <c:v>6.93</c:v>
                </c:pt>
                <c:pt idx="111">
                  <c:v>6.99</c:v>
                </c:pt>
                <c:pt idx="112">
                  <c:v>7.18</c:v>
                </c:pt>
                <c:pt idx="113">
                  <c:v>7.18</c:v>
                </c:pt>
                <c:pt idx="114">
                  <c:v>7.18</c:v>
                </c:pt>
                <c:pt idx="115">
                  <c:v>7.18</c:v>
                </c:pt>
                <c:pt idx="116">
                  <c:v>7.08</c:v>
                </c:pt>
                <c:pt idx="117">
                  <c:v>6.92</c:v>
                </c:pt>
                <c:pt idx="118">
                  <c:v>6.92</c:v>
                </c:pt>
                <c:pt idx="119">
                  <c:v>6.92</c:v>
                </c:pt>
                <c:pt idx="120">
                  <c:v>6.81</c:v>
                </c:pt>
                <c:pt idx="121">
                  <c:v>6.69</c:v>
                </c:pt>
                <c:pt idx="122">
                  <c:v>6.68</c:v>
                </c:pt>
                <c:pt idx="123">
                  <c:v>6.69</c:v>
                </c:pt>
                <c:pt idx="124">
                  <c:v>6.61</c:v>
                </c:pt>
                <c:pt idx="125">
                  <c:v>6.44</c:v>
                </c:pt>
                <c:pt idx="126">
                  <c:v>6.31</c:v>
                </c:pt>
                <c:pt idx="127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F-47EA-8085-DA4F51874ABD}"/>
            </c:ext>
          </c:extLst>
        </c:ser>
        <c:ser>
          <c:idx val="1"/>
          <c:order val="1"/>
          <c:tx>
            <c:strRef>
              <c:f>List1!$C$1</c:f>
              <c:strCache>
                <c:ptCount val="1"/>
                <c:pt idx="0">
                  <c:v>Korea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List1!$A$2:$A$129</c:f>
              <c:strCache>
                <c:ptCount val="128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</c:strCache>
            </c:strRef>
          </c:cat>
          <c:val>
            <c:numRef>
              <c:f>List1!$C$2:$C$129</c:f>
              <c:numCache>
                <c:formatCode>General</c:formatCode>
                <c:ptCount val="128"/>
                <c:pt idx="0">
                  <c:v>2.0499999999999998</c:v>
                </c:pt>
                <c:pt idx="1">
                  <c:v>2.0299999999999998</c:v>
                </c:pt>
                <c:pt idx="2">
                  <c:v>1.88</c:v>
                </c:pt>
                <c:pt idx="3">
                  <c:v>1.74</c:v>
                </c:pt>
                <c:pt idx="4">
                  <c:v>1.75</c:v>
                </c:pt>
                <c:pt idx="5">
                  <c:v>1.64</c:v>
                </c:pt>
                <c:pt idx="6">
                  <c:v>1.57</c:v>
                </c:pt>
                <c:pt idx="7">
                  <c:v>1.55</c:v>
                </c:pt>
                <c:pt idx="8">
                  <c:v>1.55</c:v>
                </c:pt>
                <c:pt idx="9">
                  <c:v>1.54</c:v>
                </c:pt>
                <c:pt idx="10">
                  <c:v>1.61</c:v>
                </c:pt>
                <c:pt idx="11">
                  <c:v>1.67</c:v>
                </c:pt>
                <c:pt idx="12">
                  <c:v>1.61</c:v>
                </c:pt>
                <c:pt idx="13">
                  <c:v>1.54</c:v>
                </c:pt>
                <c:pt idx="14">
                  <c:v>1.55</c:v>
                </c:pt>
                <c:pt idx="15">
                  <c:v>1.55</c:v>
                </c:pt>
                <c:pt idx="16">
                  <c:v>1.52</c:v>
                </c:pt>
                <c:pt idx="17">
                  <c:v>1.37</c:v>
                </c:pt>
                <c:pt idx="18">
                  <c:v>1.27</c:v>
                </c:pt>
                <c:pt idx="19">
                  <c:v>1.27</c:v>
                </c:pt>
                <c:pt idx="20">
                  <c:v>1.31</c:v>
                </c:pt>
                <c:pt idx="21">
                  <c:v>1.37</c:v>
                </c:pt>
                <c:pt idx="22">
                  <c:v>1.48</c:v>
                </c:pt>
                <c:pt idx="23">
                  <c:v>1.51</c:v>
                </c:pt>
                <c:pt idx="24">
                  <c:v>1.42</c:v>
                </c:pt>
                <c:pt idx="25">
                  <c:v>1.41</c:v>
                </c:pt>
                <c:pt idx="26">
                  <c:v>1.43</c:v>
                </c:pt>
                <c:pt idx="27">
                  <c:v>1.39</c:v>
                </c:pt>
                <c:pt idx="28">
                  <c:v>1.36</c:v>
                </c:pt>
                <c:pt idx="29">
                  <c:v>1.36</c:v>
                </c:pt>
                <c:pt idx="30">
                  <c:v>1.37</c:v>
                </c:pt>
                <c:pt idx="31">
                  <c:v>1.36</c:v>
                </c:pt>
                <c:pt idx="32">
                  <c:v>1.35</c:v>
                </c:pt>
                <c:pt idx="33">
                  <c:v>1.41</c:v>
                </c:pt>
                <c:pt idx="34">
                  <c:v>1.57</c:v>
                </c:pt>
                <c:pt idx="35">
                  <c:v>1.67</c:v>
                </c:pt>
                <c:pt idx="36">
                  <c:v>1.65</c:v>
                </c:pt>
                <c:pt idx="37">
                  <c:v>1.64</c:v>
                </c:pt>
                <c:pt idx="38">
                  <c:v>1.64</c:v>
                </c:pt>
                <c:pt idx="39">
                  <c:v>1.65</c:v>
                </c:pt>
                <c:pt idx="40">
                  <c:v>1.65</c:v>
                </c:pt>
                <c:pt idx="41">
                  <c:v>1.67</c:v>
                </c:pt>
                <c:pt idx="42">
                  <c:v>1.68</c:v>
                </c:pt>
                <c:pt idx="43">
                  <c:v>1.67</c:v>
                </c:pt>
                <c:pt idx="44">
                  <c:v>1.67</c:v>
                </c:pt>
                <c:pt idx="45">
                  <c:v>1.76</c:v>
                </c:pt>
                <c:pt idx="46">
                  <c:v>1.81</c:v>
                </c:pt>
                <c:pt idx="47">
                  <c:v>1.89</c:v>
                </c:pt>
                <c:pt idx="48">
                  <c:v>1.86</c:v>
                </c:pt>
                <c:pt idx="49">
                  <c:v>1.86</c:v>
                </c:pt>
                <c:pt idx="50">
                  <c:v>1.87</c:v>
                </c:pt>
                <c:pt idx="51">
                  <c:v>1.84</c:v>
                </c:pt>
                <c:pt idx="52">
                  <c:v>1.8</c:v>
                </c:pt>
                <c:pt idx="53">
                  <c:v>1.72</c:v>
                </c:pt>
                <c:pt idx="54">
                  <c:v>1.63</c:v>
                </c:pt>
                <c:pt idx="55">
                  <c:v>1.46</c:v>
                </c:pt>
                <c:pt idx="56">
                  <c:v>1.49</c:v>
                </c:pt>
                <c:pt idx="57">
                  <c:v>1.46</c:v>
                </c:pt>
                <c:pt idx="58">
                  <c:v>1.48</c:v>
                </c:pt>
                <c:pt idx="59">
                  <c:v>1.51</c:v>
                </c:pt>
                <c:pt idx="60">
                  <c:v>1.45</c:v>
                </c:pt>
                <c:pt idx="61">
                  <c:v>1.34</c:v>
                </c:pt>
                <c:pt idx="62">
                  <c:v>1.1599999999999999</c:v>
                </c:pt>
                <c:pt idx="63">
                  <c:v>1.06</c:v>
                </c:pt>
                <c:pt idx="64">
                  <c:v>0.91</c:v>
                </c:pt>
                <c:pt idx="65">
                  <c:v>0.67</c:v>
                </c:pt>
                <c:pt idx="66">
                  <c:v>0.64</c:v>
                </c:pt>
                <c:pt idx="67">
                  <c:v>0.57999999999999996</c:v>
                </c:pt>
                <c:pt idx="68">
                  <c:v>0.65</c:v>
                </c:pt>
                <c:pt idx="69">
                  <c:v>0.66</c:v>
                </c:pt>
                <c:pt idx="70">
                  <c:v>0.65</c:v>
                </c:pt>
                <c:pt idx="71">
                  <c:v>0.75</c:v>
                </c:pt>
                <c:pt idx="72">
                  <c:v>0.75</c:v>
                </c:pt>
                <c:pt idx="73">
                  <c:v>0.74</c:v>
                </c:pt>
                <c:pt idx="74">
                  <c:v>0.75</c:v>
                </c:pt>
                <c:pt idx="75">
                  <c:v>0.72</c:v>
                </c:pt>
                <c:pt idx="76">
                  <c:v>0.66</c:v>
                </c:pt>
                <c:pt idx="77">
                  <c:v>0.65</c:v>
                </c:pt>
                <c:pt idx="78">
                  <c:v>0.77</c:v>
                </c:pt>
                <c:pt idx="79">
                  <c:v>0.79</c:v>
                </c:pt>
                <c:pt idx="80">
                  <c:v>0.93</c:v>
                </c:pt>
                <c:pt idx="81">
                  <c:v>1.02</c:v>
                </c:pt>
                <c:pt idx="82">
                  <c:v>1.2</c:v>
                </c:pt>
                <c:pt idx="83">
                  <c:v>1.36</c:v>
                </c:pt>
                <c:pt idx="84">
                  <c:v>1.45</c:v>
                </c:pt>
                <c:pt idx="85">
                  <c:v>1.47</c:v>
                </c:pt>
                <c:pt idx="86">
                  <c:v>1.47</c:v>
                </c:pt>
                <c:pt idx="87">
                  <c:v>1.6</c:v>
                </c:pt>
                <c:pt idx="88">
                  <c:v>1.74</c:v>
                </c:pt>
                <c:pt idx="89">
                  <c:v>2.08</c:v>
                </c:pt>
                <c:pt idx="90">
                  <c:v>2.5099999999999998</c:v>
                </c:pt>
                <c:pt idx="91">
                  <c:v>2.7</c:v>
                </c:pt>
                <c:pt idx="92">
                  <c:v>2.97</c:v>
                </c:pt>
                <c:pt idx="93">
                  <c:v>3.52</c:v>
                </c:pt>
                <c:pt idx="94">
                  <c:v>4.0199999999999996</c:v>
                </c:pt>
                <c:pt idx="95">
                  <c:v>4.03</c:v>
                </c:pt>
                <c:pt idx="96">
                  <c:v>3.74</c:v>
                </c:pt>
                <c:pt idx="97">
                  <c:v>3.54</c:v>
                </c:pt>
                <c:pt idx="98">
                  <c:v>3.59</c:v>
                </c:pt>
                <c:pt idx="99">
                  <c:v>3.46</c:v>
                </c:pt>
                <c:pt idx="100">
                  <c:v>3.64</c:v>
                </c:pt>
                <c:pt idx="101">
                  <c:v>3.77</c:v>
                </c:pt>
                <c:pt idx="102">
                  <c:v>3.76</c:v>
                </c:pt>
                <c:pt idx="103">
                  <c:v>3.68</c:v>
                </c:pt>
                <c:pt idx="104">
                  <c:v>3.76</c:v>
                </c:pt>
                <c:pt idx="105">
                  <c:v>3.89</c:v>
                </c:pt>
                <c:pt idx="106">
                  <c:v>3.99</c:v>
                </c:pt>
                <c:pt idx="107">
                  <c:v>3.92</c:v>
                </c:pt>
                <c:pt idx="108">
                  <c:v>3.71</c:v>
                </c:pt>
                <c:pt idx="109">
                  <c:v>3.69</c:v>
                </c:pt>
                <c:pt idx="110">
                  <c:v>3.67</c:v>
                </c:pt>
                <c:pt idx="111">
                  <c:v>3.57</c:v>
                </c:pt>
                <c:pt idx="112">
                  <c:v>3.59</c:v>
                </c:pt>
                <c:pt idx="113">
                  <c:v>3.59</c:v>
                </c:pt>
                <c:pt idx="114">
                  <c:v>3.48</c:v>
                </c:pt>
                <c:pt idx="115">
                  <c:v>3.45</c:v>
                </c:pt>
                <c:pt idx="116">
                  <c:v>3.49</c:v>
                </c:pt>
                <c:pt idx="117">
                  <c:v>3.43</c:v>
                </c:pt>
                <c:pt idx="118">
                  <c:v>3.4</c:v>
                </c:pt>
                <c:pt idx="119">
                  <c:v>3.31</c:v>
                </c:pt>
                <c:pt idx="120">
                  <c:v>3.12</c:v>
                </c:pt>
                <c:pt idx="121">
                  <c:v>2.98</c:v>
                </c:pt>
                <c:pt idx="122">
                  <c:v>2.87</c:v>
                </c:pt>
                <c:pt idx="123">
                  <c:v>2.76</c:v>
                </c:pt>
                <c:pt idx="124">
                  <c:v>2.66</c:v>
                </c:pt>
                <c:pt idx="125">
                  <c:v>2.57</c:v>
                </c:pt>
                <c:pt idx="126">
                  <c:v>2.52</c:v>
                </c:pt>
                <c:pt idx="12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F-47EA-8085-DA4F51874ABD}"/>
            </c:ext>
          </c:extLst>
        </c:ser>
        <c:ser>
          <c:idx val="2"/>
          <c:order val="2"/>
          <c:tx>
            <c:strRef>
              <c:f>List1!$D$1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List1!$A$2:$A$129</c:f>
              <c:strCache>
                <c:ptCount val="128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</c:strCache>
            </c:strRef>
          </c:cat>
          <c:val>
            <c:numRef>
              <c:f>List1!$D$2:$D$129</c:f>
              <c:numCache>
                <c:formatCode>General</c:formatCode>
                <c:ptCount val="128"/>
                <c:pt idx="1">
                  <c:v>1.5409999999999999</c:v>
                </c:pt>
                <c:pt idx="2">
                  <c:v>1.397</c:v>
                </c:pt>
                <c:pt idx="3">
                  <c:v>1.655</c:v>
                </c:pt>
                <c:pt idx="4">
                  <c:v>2.0489999999999999</c:v>
                </c:pt>
                <c:pt idx="5">
                  <c:v>2.1419999999999999</c:v>
                </c:pt>
                <c:pt idx="6">
                  <c:v>2.0779999999999998</c:v>
                </c:pt>
                <c:pt idx="7">
                  <c:v>1.9990000000000001</c:v>
                </c:pt>
                <c:pt idx="8">
                  <c:v>1.5049999999999999</c:v>
                </c:pt>
                <c:pt idx="9">
                  <c:v>1.4910000000000001</c:v>
                </c:pt>
                <c:pt idx="10">
                  <c:v>1.7729999999999999</c:v>
                </c:pt>
                <c:pt idx="11">
                  <c:v>1.8360000000000001</c:v>
                </c:pt>
                <c:pt idx="12">
                  <c:v>1.6839999999999999</c:v>
                </c:pt>
                <c:pt idx="13">
                  <c:v>1.5129999999999999</c:v>
                </c:pt>
                <c:pt idx="14">
                  <c:v>1.4690000000000001</c:v>
                </c:pt>
                <c:pt idx="15">
                  <c:v>1.5509999999999999</c:v>
                </c:pt>
                <c:pt idx="16">
                  <c:v>1.6739999999999999</c:v>
                </c:pt>
                <c:pt idx="17">
                  <c:v>1.5880000000000001</c:v>
                </c:pt>
                <c:pt idx="18">
                  <c:v>1.4470000000000001</c:v>
                </c:pt>
                <c:pt idx="19">
                  <c:v>1.4790000000000001</c:v>
                </c:pt>
                <c:pt idx="20">
                  <c:v>1.321</c:v>
                </c:pt>
                <c:pt idx="21">
                  <c:v>1.2809999999999999</c:v>
                </c:pt>
                <c:pt idx="22">
                  <c:v>1.484</c:v>
                </c:pt>
                <c:pt idx="23">
                  <c:v>1.5549999999999999</c:v>
                </c:pt>
                <c:pt idx="24">
                  <c:v>1.78</c:v>
                </c:pt>
                <c:pt idx="25">
                  <c:v>2.1040000000000001</c:v>
                </c:pt>
                <c:pt idx="26">
                  <c:v>2.367</c:v>
                </c:pt>
                <c:pt idx="27">
                  <c:v>2.347</c:v>
                </c:pt>
                <c:pt idx="28">
                  <c:v>2.177</c:v>
                </c:pt>
                <c:pt idx="29">
                  <c:v>2.0939999999999999</c:v>
                </c:pt>
                <c:pt idx="30">
                  <c:v>2.1520000000000001</c:v>
                </c:pt>
                <c:pt idx="31">
                  <c:v>2.16</c:v>
                </c:pt>
                <c:pt idx="32">
                  <c:v>2.06</c:v>
                </c:pt>
                <c:pt idx="33">
                  <c:v>1.958</c:v>
                </c:pt>
                <c:pt idx="34">
                  <c:v>2.1480000000000001</c:v>
                </c:pt>
                <c:pt idx="35">
                  <c:v>2.2770000000000001</c:v>
                </c:pt>
                <c:pt idx="36">
                  <c:v>2.67</c:v>
                </c:pt>
                <c:pt idx="37">
                  <c:v>3.008</c:v>
                </c:pt>
                <c:pt idx="38">
                  <c:v>3.44</c:v>
                </c:pt>
                <c:pt idx="39">
                  <c:v>3.407</c:v>
                </c:pt>
                <c:pt idx="40">
                  <c:v>3.3559999999999999</c:v>
                </c:pt>
                <c:pt idx="41">
                  <c:v>3.2970000000000002</c:v>
                </c:pt>
                <c:pt idx="42">
                  <c:v>3.2389999999999999</c:v>
                </c:pt>
                <c:pt idx="43">
                  <c:v>3.3490000000000002</c:v>
                </c:pt>
                <c:pt idx="44">
                  <c:v>4.7779999999999996</c:v>
                </c:pt>
                <c:pt idx="45">
                  <c:v>5.181</c:v>
                </c:pt>
                <c:pt idx="46">
                  <c:v>5.3559999999999999</c:v>
                </c:pt>
                <c:pt idx="47">
                  <c:v>5.444</c:v>
                </c:pt>
                <c:pt idx="48">
                  <c:v>5.5750000000000002</c:v>
                </c:pt>
                <c:pt idx="49">
                  <c:v>5.7539999999999996</c:v>
                </c:pt>
                <c:pt idx="50">
                  <c:v>5.6059999999999999</c:v>
                </c:pt>
                <c:pt idx="51">
                  <c:v>5.3090000000000002</c:v>
                </c:pt>
                <c:pt idx="52">
                  <c:v>4.5960000000000001</c:v>
                </c:pt>
                <c:pt idx="53">
                  <c:v>3.8260000000000001</c:v>
                </c:pt>
                <c:pt idx="54">
                  <c:v>3.3260000000000001</c:v>
                </c:pt>
                <c:pt idx="55">
                  <c:v>3.093</c:v>
                </c:pt>
                <c:pt idx="56">
                  <c:v>2.9950000000000001</c:v>
                </c:pt>
                <c:pt idx="57">
                  <c:v>3.1680000000000001</c:v>
                </c:pt>
                <c:pt idx="58">
                  <c:v>3.1920000000000002</c:v>
                </c:pt>
                <c:pt idx="59">
                  <c:v>3.2985000000000002</c:v>
                </c:pt>
                <c:pt idx="60">
                  <c:v>3.0942500000000002</c:v>
                </c:pt>
                <c:pt idx="61">
                  <c:v>3.0185</c:v>
                </c:pt>
                <c:pt idx="62">
                  <c:v>3.2044100000000002</c:v>
                </c:pt>
                <c:pt idx="63">
                  <c:v>2.2341000000000002</c:v>
                </c:pt>
                <c:pt idx="64">
                  <c:v>1.9782</c:v>
                </c:pt>
                <c:pt idx="65">
                  <c:v>1.5192000000000001</c:v>
                </c:pt>
                <c:pt idx="66">
                  <c:v>1.1457999999999999</c:v>
                </c:pt>
                <c:pt idx="67">
                  <c:v>1.1520999999999999</c:v>
                </c:pt>
                <c:pt idx="68">
                  <c:v>1.0944</c:v>
                </c:pt>
                <c:pt idx="69">
                  <c:v>1.0217083333333301</c:v>
                </c:pt>
                <c:pt idx="70">
                  <c:v>1.0143</c:v>
                </c:pt>
                <c:pt idx="71">
                  <c:v>0.97995454545454497</c:v>
                </c:pt>
                <c:pt idx="72">
                  <c:v>0.87042307692307697</c:v>
                </c:pt>
                <c:pt idx="73">
                  <c:v>1.2080740740740701</c:v>
                </c:pt>
                <c:pt idx="74">
                  <c:v>1.3345</c:v>
                </c:pt>
                <c:pt idx="75">
                  <c:v>1.2695172413793101</c:v>
                </c:pt>
                <c:pt idx="76">
                  <c:v>1.10845833333333</c:v>
                </c:pt>
                <c:pt idx="77">
                  <c:v>1.0609999999999999</c:v>
                </c:pt>
                <c:pt idx="78">
                  <c:v>1.0673999999999999</c:v>
                </c:pt>
                <c:pt idx="79">
                  <c:v>1.07175</c:v>
                </c:pt>
                <c:pt idx="80">
                  <c:v>1.103</c:v>
                </c:pt>
                <c:pt idx="81">
                  <c:v>1.1515</c:v>
                </c:pt>
                <c:pt idx="82">
                  <c:v>1.1399999999999999</c:v>
                </c:pt>
                <c:pt idx="83">
                  <c:v>0.86060000000000003</c:v>
                </c:pt>
                <c:pt idx="84">
                  <c:v>0.80633333333333301</c:v>
                </c:pt>
                <c:pt idx="85">
                  <c:v>1.50139200186003</c:v>
                </c:pt>
                <c:pt idx="86">
                  <c:v>1.2484090909090899</c:v>
                </c:pt>
                <c:pt idx="87">
                  <c:v>1.4844999999999999</c:v>
                </c:pt>
                <c:pt idx="88">
                  <c:v>1.64555229662424</c:v>
                </c:pt>
                <c:pt idx="89">
                  <c:v>2.0950000000000002</c:v>
                </c:pt>
                <c:pt idx="90">
                  <c:v>1.96740932642487</c:v>
                </c:pt>
                <c:pt idx="91">
                  <c:v>2.3180000000000001</c:v>
                </c:pt>
                <c:pt idx="92">
                  <c:v>4.0850940397351003</c:v>
                </c:pt>
                <c:pt idx="93">
                  <c:v>4.3482456140350898</c:v>
                </c:pt>
                <c:pt idx="94">
                  <c:v>4.0890000000000004</c:v>
                </c:pt>
                <c:pt idx="95">
                  <c:v>4.2</c:v>
                </c:pt>
                <c:pt idx="96">
                  <c:v>4.2617084870848698</c:v>
                </c:pt>
                <c:pt idx="97">
                  <c:v>4.7744705247670396</c:v>
                </c:pt>
                <c:pt idx="98">
                  <c:v>5.3472592835777304</c:v>
                </c:pt>
                <c:pt idx="99">
                  <c:v>5.8416250312891096</c:v>
                </c:pt>
                <c:pt idx="100">
                  <c:v>5.9631245108502302</c:v>
                </c:pt>
                <c:pt idx="101">
                  <c:v>5.7343861636316102</c:v>
                </c:pt>
                <c:pt idx="102">
                  <c:v>5.6393978494623704</c:v>
                </c:pt>
                <c:pt idx="103">
                  <c:v>5.5685000000000002</c:v>
                </c:pt>
                <c:pt idx="104">
                  <c:v>5.9993493276414096</c:v>
                </c:pt>
                <c:pt idx="105">
                  <c:v>5.8949230769230798</c:v>
                </c:pt>
                <c:pt idx="106">
                  <c:v>4.9960000000000004</c:v>
                </c:pt>
                <c:pt idx="107">
                  <c:v>5.2245925925925896</c:v>
                </c:pt>
                <c:pt idx="108">
                  <c:v>5.5666153846153801</c:v>
                </c:pt>
                <c:pt idx="109">
                  <c:v>5.7510000000000003</c:v>
                </c:pt>
                <c:pt idx="110">
                  <c:v>5.8205999999999998</c:v>
                </c:pt>
                <c:pt idx="111">
                  <c:v>5.7344999999999997</c:v>
                </c:pt>
                <c:pt idx="112">
                  <c:v>5.6742499999999998</c:v>
                </c:pt>
                <c:pt idx="113">
                  <c:v>5.7245999999999997</c:v>
                </c:pt>
                <c:pt idx="114">
                  <c:v>5.9085000000000001</c:v>
                </c:pt>
                <c:pt idx="115">
                  <c:v>5.6212</c:v>
                </c:pt>
                <c:pt idx="116">
                  <c:v>5.47675</c:v>
                </c:pt>
                <c:pt idx="117">
                  <c:v>5.6214797047970499</c:v>
                </c:pt>
                <c:pt idx="118">
                  <c:v>5.7406666666666704</c:v>
                </c:pt>
                <c:pt idx="119">
                  <c:v>5.3835384615384596</c:v>
                </c:pt>
                <c:pt idx="120">
                  <c:v>5.2082727272727301</c:v>
                </c:pt>
                <c:pt idx="121">
                  <c:v>5.2006343558282202</c:v>
                </c:pt>
                <c:pt idx="122">
                  <c:v>5.47818753973299</c:v>
                </c:pt>
                <c:pt idx="123">
                  <c:v>5.5255000000000001</c:v>
                </c:pt>
                <c:pt idx="124">
                  <c:v>5.4784401772525904</c:v>
                </c:pt>
                <c:pt idx="125">
                  <c:v>5.45275</c:v>
                </c:pt>
                <c:pt idx="126">
                  <c:v>5.2565806451612902</c:v>
                </c:pt>
                <c:pt idx="127">
                  <c:v>4.9795662650602397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FF-47EA-8085-DA4F51874ABD}"/>
            </c:ext>
          </c:extLst>
        </c:ser>
        <c:ser>
          <c:idx val="3"/>
          <c:order val="3"/>
          <c:tx>
            <c:strRef>
              <c:f>List1!$F$1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List1!$A$2:$A$129</c:f>
              <c:strCache>
                <c:ptCount val="128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</c:strCache>
            </c:strRef>
          </c:cat>
          <c:val>
            <c:numRef>
              <c:f>List1!$F$2:$F$128</c:f>
              <c:numCache>
                <c:formatCode>General</c:formatCode>
                <c:ptCount val="127"/>
                <c:pt idx="0">
                  <c:v>2.17</c:v>
                </c:pt>
                <c:pt idx="1">
                  <c:v>2.17</c:v>
                </c:pt>
                <c:pt idx="2">
                  <c:v>2.02</c:v>
                </c:pt>
                <c:pt idx="3">
                  <c:v>1.91</c:v>
                </c:pt>
                <c:pt idx="4">
                  <c:v>1.67</c:v>
                </c:pt>
                <c:pt idx="5">
                  <c:v>1.66</c:v>
                </c:pt>
                <c:pt idx="6">
                  <c:v>1.65</c:v>
                </c:pt>
                <c:pt idx="7">
                  <c:v>1.63</c:v>
                </c:pt>
                <c:pt idx="8">
                  <c:v>1.63</c:v>
                </c:pt>
                <c:pt idx="9">
                  <c:v>1.63</c:v>
                </c:pt>
                <c:pt idx="10">
                  <c:v>1.63</c:v>
                </c:pt>
                <c:pt idx="11">
                  <c:v>1.63</c:v>
                </c:pt>
                <c:pt idx="12">
                  <c:v>1.62</c:v>
                </c:pt>
                <c:pt idx="13">
                  <c:v>1.62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1.59</c:v>
                </c:pt>
                <c:pt idx="19">
                  <c:v>1.59</c:v>
                </c:pt>
                <c:pt idx="20">
                  <c:v>1.6</c:v>
                </c:pt>
                <c:pt idx="21">
                  <c:v>1.59</c:v>
                </c:pt>
                <c:pt idx="22">
                  <c:v>1.59</c:v>
                </c:pt>
                <c:pt idx="23">
                  <c:v>1.6</c:v>
                </c:pt>
                <c:pt idx="24">
                  <c:v>1.59</c:v>
                </c:pt>
                <c:pt idx="25">
                  <c:v>1.59</c:v>
                </c:pt>
                <c:pt idx="26">
                  <c:v>1.59</c:v>
                </c:pt>
                <c:pt idx="27">
                  <c:v>1.59</c:v>
                </c:pt>
                <c:pt idx="28">
                  <c:v>1.59</c:v>
                </c:pt>
                <c:pt idx="29">
                  <c:v>1.59</c:v>
                </c:pt>
                <c:pt idx="30">
                  <c:v>1.58</c:v>
                </c:pt>
                <c:pt idx="31">
                  <c:v>1.58</c:v>
                </c:pt>
                <c:pt idx="32">
                  <c:v>1.58</c:v>
                </c:pt>
                <c:pt idx="33">
                  <c:v>1.57</c:v>
                </c:pt>
                <c:pt idx="34">
                  <c:v>1.57</c:v>
                </c:pt>
                <c:pt idx="35">
                  <c:v>1.57</c:v>
                </c:pt>
                <c:pt idx="36">
                  <c:v>1.57</c:v>
                </c:pt>
                <c:pt idx="37">
                  <c:v>1.57</c:v>
                </c:pt>
                <c:pt idx="38">
                  <c:v>1.57</c:v>
                </c:pt>
                <c:pt idx="39">
                  <c:v>1.57</c:v>
                </c:pt>
                <c:pt idx="40">
                  <c:v>1.58</c:v>
                </c:pt>
                <c:pt idx="41">
                  <c:v>1.58</c:v>
                </c:pt>
                <c:pt idx="42">
                  <c:v>1.58</c:v>
                </c:pt>
                <c:pt idx="43">
                  <c:v>1.59</c:v>
                </c:pt>
                <c:pt idx="44">
                  <c:v>1.59</c:v>
                </c:pt>
                <c:pt idx="45">
                  <c:v>1.6</c:v>
                </c:pt>
                <c:pt idx="46">
                  <c:v>1.61</c:v>
                </c:pt>
                <c:pt idx="47">
                  <c:v>1.71</c:v>
                </c:pt>
                <c:pt idx="48">
                  <c:v>1.87</c:v>
                </c:pt>
                <c:pt idx="49">
                  <c:v>1.87</c:v>
                </c:pt>
                <c:pt idx="50">
                  <c:v>1.87</c:v>
                </c:pt>
                <c:pt idx="51">
                  <c:v>1.88</c:v>
                </c:pt>
                <c:pt idx="52">
                  <c:v>1.88</c:v>
                </c:pt>
                <c:pt idx="53">
                  <c:v>1.87</c:v>
                </c:pt>
                <c:pt idx="54">
                  <c:v>1.87</c:v>
                </c:pt>
                <c:pt idx="55">
                  <c:v>1.68</c:v>
                </c:pt>
                <c:pt idx="56">
                  <c:v>1.62</c:v>
                </c:pt>
                <c:pt idx="57">
                  <c:v>1.62</c:v>
                </c:pt>
                <c:pt idx="58">
                  <c:v>1.42</c:v>
                </c:pt>
                <c:pt idx="59">
                  <c:v>1.37</c:v>
                </c:pt>
                <c:pt idx="60">
                  <c:v>1.37</c:v>
                </c:pt>
                <c:pt idx="61">
                  <c:v>1.1599999999999999</c:v>
                </c:pt>
                <c:pt idx="62">
                  <c:v>1.04</c:v>
                </c:pt>
                <c:pt idx="63">
                  <c:v>0.87</c:v>
                </c:pt>
                <c:pt idx="64">
                  <c:v>0.78</c:v>
                </c:pt>
                <c:pt idx="65">
                  <c:v>0.63</c:v>
                </c:pt>
                <c:pt idx="66">
                  <c:v>0.63</c:v>
                </c:pt>
                <c:pt idx="67">
                  <c:v>0.63</c:v>
                </c:pt>
                <c:pt idx="68">
                  <c:v>0.63</c:v>
                </c:pt>
                <c:pt idx="69">
                  <c:v>0.63</c:v>
                </c:pt>
                <c:pt idx="70">
                  <c:v>0.63</c:v>
                </c:pt>
                <c:pt idx="71">
                  <c:v>0.62</c:v>
                </c:pt>
                <c:pt idx="72">
                  <c:v>0.62</c:v>
                </c:pt>
                <c:pt idx="73">
                  <c:v>0.63</c:v>
                </c:pt>
                <c:pt idx="74">
                  <c:v>0.63</c:v>
                </c:pt>
                <c:pt idx="75">
                  <c:v>0.62</c:v>
                </c:pt>
                <c:pt idx="76">
                  <c:v>0.62</c:v>
                </c:pt>
                <c:pt idx="77">
                  <c:v>0.62</c:v>
                </c:pt>
                <c:pt idx="78">
                  <c:v>0.62</c:v>
                </c:pt>
                <c:pt idx="79">
                  <c:v>0.62</c:v>
                </c:pt>
                <c:pt idx="80">
                  <c:v>0.62</c:v>
                </c:pt>
                <c:pt idx="81">
                  <c:v>0.62</c:v>
                </c:pt>
                <c:pt idx="82">
                  <c:v>0.62</c:v>
                </c:pt>
                <c:pt idx="83">
                  <c:v>0.62</c:v>
                </c:pt>
                <c:pt idx="84">
                  <c:v>0.62</c:v>
                </c:pt>
                <c:pt idx="85">
                  <c:v>0.62</c:v>
                </c:pt>
                <c:pt idx="86">
                  <c:v>0.63</c:v>
                </c:pt>
                <c:pt idx="87">
                  <c:v>0.63</c:v>
                </c:pt>
                <c:pt idx="88">
                  <c:v>0.63</c:v>
                </c:pt>
                <c:pt idx="89">
                  <c:v>0.67</c:v>
                </c:pt>
                <c:pt idx="90">
                  <c:v>0.73</c:v>
                </c:pt>
                <c:pt idx="91">
                  <c:v>0.87</c:v>
                </c:pt>
                <c:pt idx="92">
                  <c:v>1.03</c:v>
                </c:pt>
                <c:pt idx="93">
                  <c:v>1.24</c:v>
                </c:pt>
                <c:pt idx="94">
                  <c:v>1.31</c:v>
                </c:pt>
                <c:pt idx="95">
                  <c:v>1.43</c:v>
                </c:pt>
                <c:pt idx="96">
                  <c:v>1.54</c:v>
                </c:pt>
                <c:pt idx="97">
                  <c:v>1.73</c:v>
                </c:pt>
                <c:pt idx="98">
                  <c:v>1.79</c:v>
                </c:pt>
                <c:pt idx="99">
                  <c:v>1.91</c:v>
                </c:pt>
                <c:pt idx="100">
                  <c:v>2</c:v>
                </c:pt>
                <c:pt idx="101">
                  <c:v>2.17</c:v>
                </c:pt>
                <c:pt idx="102">
                  <c:v>2.2599999999999998</c:v>
                </c:pt>
                <c:pt idx="103">
                  <c:v>2.4</c:v>
                </c:pt>
                <c:pt idx="104">
                  <c:v>2.64</c:v>
                </c:pt>
                <c:pt idx="105">
                  <c:v>2.64</c:v>
                </c:pt>
                <c:pt idx="106">
                  <c:v>2.65</c:v>
                </c:pt>
                <c:pt idx="107">
                  <c:v>2.65</c:v>
                </c:pt>
                <c:pt idx="108">
                  <c:v>2.65</c:v>
                </c:pt>
                <c:pt idx="109">
                  <c:v>2.65</c:v>
                </c:pt>
                <c:pt idx="110">
                  <c:v>2.65</c:v>
                </c:pt>
                <c:pt idx="111">
                  <c:v>2.65</c:v>
                </c:pt>
                <c:pt idx="112">
                  <c:v>2.65</c:v>
                </c:pt>
                <c:pt idx="113">
                  <c:v>2.65</c:v>
                </c:pt>
                <c:pt idx="114">
                  <c:v>2.65</c:v>
                </c:pt>
                <c:pt idx="115">
                  <c:v>2.65</c:v>
                </c:pt>
                <c:pt idx="116">
                  <c:v>2.65</c:v>
                </c:pt>
                <c:pt idx="117">
                  <c:v>2.5299999999999998</c:v>
                </c:pt>
                <c:pt idx="118">
                  <c:v>2.4</c:v>
                </c:pt>
                <c:pt idx="119">
                  <c:v>2.4</c:v>
                </c:pt>
                <c:pt idx="120">
                  <c:v>2.39</c:v>
                </c:pt>
                <c:pt idx="121">
                  <c:v>2.37</c:v>
                </c:pt>
                <c:pt idx="122">
                  <c:v>2.15</c:v>
                </c:pt>
                <c:pt idx="123">
                  <c:v>2.14</c:v>
                </c:pt>
                <c:pt idx="124">
                  <c:v>1.9</c:v>
                </c:pt>
                <c:pt idx="125">
                  <c:v>1.89</c:v>
                </c:pt>
                <c:pt idx="126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FF-47EA-8085-DA4F51874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239904"/>
        <c:axId val="1028237024"/>
      </c:lineChart>
      <c:catAx>
        <c:axId val="10282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28237024"/>
        <c:crosses val="autoZero"/>
        <c:auto val="1"/>
        <c:lblAlgn val="ctr"/>
        <c:lblOffset val="100"/>
        <c:noMultiLvlLbl val="0"/>
      </c:catAx>
      <c:valAx>
        <c:axId val="1028237024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282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0</xdr:row>
      <xdr:rowOff>137160</xdr:rowOff>
    </xdr:from>
    <xdr:to>
      <xdr:col>19</xdr:col>
      <xdr:colOff>457200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3F8C68-4DA4-4AD4-9E21-717512DC1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1"/>
  <sheetViews>
    <sheetView tabSelected="1" topLeftCell="B1" workbookViewId="0">
      <selection activeCell="AA10" sqref="AA10"/>
    </sheetView>
  </sheetViews>
  <sheetFormatPr defaultRowHeight="14.4"/>
  <cols>
    <col min="1" max="1" width="10.33203125" bestFit="1" customWidth="1"/>
    <col min="2" max="2" width="20.109375" customWidth="1"/>
    <col min="4" max="4" width="9.88671875" customWidth="1"/>
    <col min="6" max="6" width="16.5546875" customWidth="1"/>
    <col min="26" max="26" width="9.5546875" bestFit="1" customWidth="1"/>
  </cols>
  <sheetData>
    <row r="1" spans="1:27" ht="27" customHeight="1">
      <c r="A1" t="s">
        <v>130</v>
      </c>
      <c r="B1" t="s">
        <v>131</v>
      </c>
      <c r="C1" t="s">
        <v>132</v>
      </c>
      <c r="D1" t="s">
        <v>133</v>
      </c>
      <c r="E1" t="s">
        <v>135</v>
      </c>
      <c r="F1" t="s">
        <v>134</v>
      </c>
    </row>
    <row r="2" spans="1:27">
      <c r="A2" s="2" t="s">
        <v>0</v>
      </c>
      <c r="B2" s="6">
        <v>7.1220271430000004</v>
      </c>
      <c r="C2" s="1">
        <v>2.0499999999999998</v>
      </c>
      <c r="D2" s="3"/>
      <c r="E2" s="5">
        <v>1.89</v>
      </c>
      <c r="F2" cm="1">
        <f t="array" ref="F2">INDEX($E$2:$E$128, ROWS($E$2:$E$128) - ROW(A1) + 1)</f>
        <v>2.17</v>
      </c>
    </row>
    <row r="3" spans="1:27">
      <c r="A3" s="2" t="s">
        <v>1</v>
      </c>
      <c r="B3" s="6">
        <v>7.0056931579999997</v>
      </c>
      <c r="C3" s="1">
        <v>2.0299999999999998</v>
      </c>
      <c r="D3" s="4">
        <v>1.5409999999999999</v>
      </c>
      <c r="E3" s="5">
        <v>1.89</v>
      </c>
      <c r="F3" cm="1">
        <f t="array" ref="F3">INDEX($E$2:$E$128, ROWS($E$2:$E$128) - ROW(A2) + 1)</f>
        <v>2.17</v>
      </c>
      <c r="X3" t="s">
        <v>131</v>
      </c>
      <c r="Y3" t="s">
        <v>132</v>
      </c>
      <c r="Z3" t="s">
        <v>133</v>
      </c>
      <c r="AA3" t="s">
        <v>134</v>
      </c>
    </row>
    <row r="4" spans="1:27">
      <c r="A4" s="2" t="s">
        <v>2</v>
      </c>
      <c r="B4" s="6">
        <v>6.8054145449999996</v>
      </c>
      <c r="C4" s="1">
        <v>1.88</v>
      </c>
      <c r="D4" s="3">
        <v>1.397</v>
      </c>
      <c r="E4" s="5">
        <v>1.9</v>
      </c>
      <c r="F4" cm="1">
        <f t="array" ref="F4">INDEX($E$2:$E$128, ROWS($E$2:$E$128) - ROW(A3) + 1)</f>
        <v>2.02</v>
      </c>
      <c r="W4" t="s">
        <v>137</v>
      </c>
      <c r="X4" s="6">
        <f>MIN(B2:B131)</f>
        <v>3.75</v>
      </c>
      <c r="Y4" s="6">
        <f t="shared" ref="Y4:AA4" si="0">MIN(C2:C131)</f>
        <v>0.57999999999999996</v>
      </c>
      <c r="Z4" s="6">
        <f t="shared" si="0"/>
        <v>0.80633333333333301</v>
      </c>
      <c r="AA4" s="6">
        <f t="shared" si="0"/>
        <v>0.62</v>
      </c>
    </row>
    <row r="5" spans="1:27">
      <c r="A5" s="2" t="s">
        <v>3</v>
      </c>
      <c r="B5" s="6">
        <v>6.865175238</v>
      </c>
      <c r="C5" s="1">
        <v>1.74</v>
      </c>
      <c r="D5" s="4">
        <v>1.655</v>
      </c>
      <c r="E5" s="5">
        <v>2.14</v>
      </c>
      <c r="F5" cm="1">
        <f t="array" ref="F5">INDEX($E$2:$E$128, ROWS($E$2:$E$128) - ROW(A4) + 1)</f>
        <v>1.91</v>
      </c>
      <c r="W5" t="s">
        <v>138</v>
      </c>
      <c r="X5" s="6">
        <f>MAX(B2:B131)</f>
        <v>8.7066145000000006</v>
      </c>
      <c r="Y5" s="6">
        <f t="shared" ref="Y5:AA5" si="1">MAX(C2:C131)</f>
        <v>4.03</v>
      </c>
      <c r="Z5" s="6">
        <f t="shared" si="1"/>
        <v>5.9993493276414096</v>
      </c>
      <c r="AA5" s="6">
        <f t="shared" si="1"/>
        <v>2.65</v>
      </c>
    </row>
    <row r="6" spans="1:27">
      <c r="A6" s="2" t="s">
        <v>4</v>
      </c>
      <c r="B6" s="6">
        <v>6.9084557889999996</v>
      </c>
      <c r="C6" s="1">
        <v>1.75</v>
      </c>
      <c r="D6" s="3">
        <v>2.0489999999999999</v>
      </c>
      <c r="E6" s="5">
        <v>2.15</v>
      </c>
      <c r="F6" cm="1">
        <f t="array" ref="F6">INDEX($E$2:$E$128, ROWS($E$2:$E$128) - ROW(A5) + 1)</f>
        <v>1.67</v>
      </c>
      <c r="W6" t="s">
        <v>139</v>
      </c>
      <c r="X6" s="6">
        <f>AVERAGE(B2:B131)</f>
        <v>6.1070495474961239</v>
      </c>
      <c r="Y6" s="6">
        <f t="shared" ref="Y6:AA6" si="2">AVERAGE(C2:C131)</f>
        <v>1.9996923076923074</v>
      </c>
      <c r="Z6" s="6">
        <f t="shared" si="2"/>
        <v>3.147563386481615</v>
      </c>
      <c r="AA6" s="6">
        <f t="shared" si="2"/>
        <v>1.5693700787401579</v>
      </c>
    </row>
    <row r="7" spans="1:27">
      <c r="A7" s="2" t="s">
        <v>5</v>
      </c>
      <c r="B7" s="6">
        <v>6.9415066670000014</v>
      </c>
      <c r="C7" s="1">
        <v>1.64</v>
      </c>
      <c r="D7" s="4">
        <v>2.1419999999999999</v>
      </c>
      <c r="E7" s="5">
        <v>2.37</v>
      </c>
      <c r="F7" cm="1">
        <f t="array" ref="F7">INDEX($E$2:$E$128, ROWS($E$2:$E$128) - ROW(A6) + 1)</f>
        <v>1.66</v>
      </c>
      <c r="W7" t="s">
        <v>140</v>
      </c>
      <c r="X7">
        <f>_xlfn.STDEV.S(B2:B131)</f>
        <v>1.3414481121578516</v>
      </c>
      <c r="Y7">
        <f t="shared" ref="Y7:AA7" si="3">_xlfn.STDEV.S(C2:C131)</f>
        <v>0.99412377254251982</v>
      </c>
      <c r="Z7">
        <f t="shared" si="3"/>
        <v>1.7738608931124715</v>
      </c>
      <c r="AA7">
        <f t="shared" si="3"/>
        <v>0.62358506252853863</v>
      </c>
    </row>
    <row r="8" spans="1:27">
      <c r="A8" s="2" t="s">
        <v>6</v>
      </c>
      <c r="B8" s="6">
        <v>7.3736495</v>
      </c>
      <c r="C8" s="1">
        <v>1.57</v>
      </c>
      <c r="D8" s="3">
        <v>2.0779999999999998</v>
      </c>
      <c r="E8" s="5">
        <v>2.39</v>
      </c>
      <c r="F8" cm="1">
        <f t="array" ref="F8">INDEX($E$2:$E$128, ROWS($E$2:$E$128) - ROW(A7) + 1)</f>
        <v>1.65</v>
      </c>
      <c r="W8" t="s">
        <v>141</v>
      </c>
      <c r="X8">
        <f>X7/X6</f>
        <v>0.21965567852775031</v>
      </c>
      <c r="Y8">
        <f t="shared" ref="Y8:AA8" si="4">Y7/Y6</f>
        <v>0.49713836909727493</v>
      </c>
      <c r="Z8">
        <f t="shared" si="4"/>
        <v>0.56356637668711573</v>
      </c>
      <c r="AA8">
        <f t="shared" si="4"/>
        <v>0.39734736310834573</v>
      </c>
    </row>
    <row r="9" spans="1:27">
      <c r="A9" s="2" t="s">
        <v>7</v>
      </c>
      <c r="B9" s="6">
        <v>7.4568005000000017</v>
      </c>
      <c r="C9" s="1">
        <v>1.55</v>
      </c>
      <c r="D9" s="4">
        <v>1.9990000000000001</v>
      </c>
      <c r="E9" s="5">
        <v>2.4</v>
      </c>
      <c r="F9" cm="1">
        <f t="array" ref="F9">INDEX($E$2:$E$128, ROWS($E$2:$E$128) - ROW(A8) + 1)</f>
        <v>1.63</v>
      </c>
    </row>
    <row r="10" spans="1:27">
      <c r="A10" s="2" t="s">
        <v>8</v>
      </c>
      <c r="B10" s="6">
        <v>7.7430738100000003</v>
      </c>
      <c r="C10" s="1">
        <v>1.55</v>
      </c>
      <c r="D10" s="3">
        <v>1.5049999999999999</v>
      </c>
      <c r="E10" s="5">
        <v>2.4</v>
      </c>
      <c r="F10" cm="1">
        <f t="array" ref="F10">INDEX($E$2:$E$128, ROWS($E$2:$E$128) - ROW(A9) + 1)</f>
        <v>1.63</v>
      </c>
    </row>
    <row r="11" spans="1:27">
      <c r="A11" s="2" t="s">
        <v>9</v>
      </c>
      <c r="B11" s="6">
        <v>8.1910633329999989</v>
      </c>
      <c r="C11" s="1">
        <v>1.54</v>
      </c>
      <c r="D11" s="4">
        <v>1.4910000000000001</v>
      </c>
      <c r="E11" s="5">
        <v>2.5299999999999998</v>
      </c>
      <c r="F11" cm="1">
        <f t="array" ref="F11">INDEX($E$2:$E$128, ROWS($E$2:$E$128) - ROW(A10) + 1)</f>
        <v>1.63</v>
      </c>
    </row>
    <row r="12" spans="1:27">
      <c r="A12" s="2" t="s">
        <v>10</v>
      </c>
      <c r="B12" s="6">
        <v>8.3681090479999991</v>
      </c>
      <c r="C12" s="1">
        <v>1.61</v>
      </c>
      <c r="D12" s="3">
        <v>1.7729999999999999</v>
      </c>
      <c r="E12" s="5">
        <v>2.65</v>
      </c>
      <c r="F12" cm="1">
        <f t="array" ref="F12">INDEX($E$2:$E$128, ROWS($E$2:$E$128) - ROW(A11) + 1)</f>
        <v>1.63</v>
      </c>
    </row>
    <row r="13" spans="1:27">
      <c r="A13" s="2" t="s">
        <v>11</v>
      </c>
      <c r="B13" s="6">
        <v>8.7066145000000006</v>
      </c>
      <c r="C13" s="1">
        <v>1.67</v>
      </c>
      <c r="D13" s="4">
        <v>1.8360000000000001</v>
      </c>
      <c r="E13" s="5">
        <v>2.65</v>
      </c>
      <c r="F13" cm="1">
        <f t="array" ref="F13">INDEX($E$2:$E$128, ROWS($E$2:$E$128) - ROW(A12) + 1)</f>
        <v>1.63</v>
      </c>
    </row>
    <row r="14" spans="1:27">
      <c r="A14" s="2" t="s">
        <v>12</v>
      </c>
      <c r="B14" s="6">
        <v>8.5839020000000001</v>
      </c>
      <c r="C14" s="1">
        <v>1.61</v>
      </c>
      <c r="D14" s="3">
        <v>1.6839999999999999</v>
      </c>
      <c r="E14" s="5">
        <v>2.65</v>
      </c>
      <c r="F14" cm="1">
        <f t="array" ref="F14">INDEX($E$2:$E$128, ROWS($E$2:$E$128) - ROW(A13) + 1)</f>
        <v>1.62</v>
      </c>
    </row>
    <row r="15" spans="1:27">
      <c r="A15" s="2" t="s">
        <v>13</v>
      </c>
      <c r="B15" s="6">
        <v>8.1297060000000005</v>
      </c>
      <c r="C15" s="1">
        <v>1.54</v>
      </c>
      <c r="D15" s="4">
        <v>1.5129999999999999</v>
      </c>
      <c r="E15" s="5">
        <v>2.65</v>
      </c>
      <c r="F15" cm="1">
        <f t="array" ref="F15">INDEX($E$2:$E$128, ROWS($E$2:$E$128) - ROW(A14) + 1)</f>
        <v>1.62</v>
      </c>
    </row>
    <row r="16" spans="1:27">
      <c r="A16" s="2" t="s">
        <v>14</v>
      </c>
      <c r="B16" s="6">
        <v>7.027694286</v>
      </c>
      <c r="C16" s="1">
        <v>1.55</v>
      </c>
      <c r="D16" s="3">
        <v>1.4690000000000001</v>
      </c>
      <c r="E16" s="5">
        <v>2.65</v>
      </c>
      <c r="F16" cm="1">
        <f t="array" ref="F16">INDEX($E$2:$E$128, ROWS($E$2:$E$128) - ROW(A15) + 1)</f>
        <v>1.6</v>
      </c>
    </row>
    <row r="17" spans="1:8">
      <c r="A17" s="2" t="s">
        <v>15</v>
      </c>
      <c r="B17" s="6">
        <v>6.6233361899999998</v>
      </c>
      <c r="C17" s="1">
        <v>1.55</v>
      </c>
      <c r="D17" s="4">
        <v>1.5509999999999999</v>
      </c>
      <c r="E17" s="5">
        <v>2.65</v>
      </c>
      <c r="F17" cm="1">
        <f t="array" ref="F17">INDEX($E$2:$E$128, ROWS($E$2:$E$128) - ROW(A16) + 1)</f>
        <v>1.6</v>
      </c>
    </row>
    <row r="18" spans="1:8">
      <c r="A18" s="2" t="s">
        <v>16</v>
      </c>
      <c r="B18" s="6">
        <v>6.6499174999999999</v>
      </c>
      <c r="C18" s="1">
        <v>1.52</v>
      </c>
      <c r="D18" s="3">
        <v>1.6739999999999999</v>
      </c>
      <c r="E18" s="5">
        <v>2.65</v>
      </c>
      <c r="F18" cm="1">
        <f t="array" ref="F18">INDEX($E$2:$E$128, ROWS($E$2:$E$128) - ROW(A17) + 1)</f>
        <v>1.6</v>
      </c>
    </row>
    <row r="19" spans="1:8">
      <c r="A19" s="2" t="s">
        <v>17</v>
      </c>
      <c r="B19" s="6">
        <v>7.0432472730000004</v>
      </c>
      <c r="C19" s="1">
        <v>1.37</v>
      </c>
      <c r="D19" s="4">
        <v>1.5880000000000001</v>
      </c>
      <c r="E19" s="5">
        <v>2.65</v>
      </c>
      <c r="F19" cm="1">
        <f t="array" ref="F19">INDEX($E$2:$E$128, ROWS($E$2:$E$128) - ROW(A18) + 1)</f>
        <v>1.6</v>
      </c>
    </row>
    <row r="20" spans="1:8">
      <c r="A20" s="2" t="s">
        <v>18</v>
      </c>
      <c r="B20" s="6">
        <v>7.1852600000000004</v>
      </c>
      <c r="C20" s="1">
        <v>1.27</v>
      </c>
      <c r="D20" s="3">
        <v>1.4470000000000001</v>
      </c>
      <c r="E20" s="5">
        <v>2.65</v>
      </c>
      <c r="F20" cm="1">
        <f t="array" ref="F20">INDEX($E$2:$E$128, ROWS($E$2:$E$128) - ROW(A19) + 1)</f>
        <v>1.59</v>
      </c>
    </row>
    <row r="21" spans="1:8">
      <c r="A21" s="2" t="s">
        <v>19</v>
      </c>
      <c r="B21" s="6">
        <v>7.1183472729999986</v>
      </c>
      <c r="C21" s="1">
        <v>1.27</v>
      </c>
      <c r="D21" s="4">
        <v>1.4790000000000001</v>
      </c>
      <c r="E21" s="5">
        <v>2.65</v>
      </c>
      <c r="F21" cm="1">
        <f t="array" ref="F21">INDEX($E$2:$E$128, ROWS($E$2:$E$128) - ROW(A20) + 1)</f>
        <v>1.59</v>
      </c>
    </row>
    <row r="22" spans="1:8">
      <c r="A22" s="2" t="s">
        <v>20</v>
      </c>
      <c r="B22" s="6">
        <v>7.1342909520000006</v>
      </c>
      <c r="C22" s="1">
        <v>1.31</v>
      </c>
      <c r="D22" s="3">
        <v>1.321</v>
      </c>
      <c r="E22" s="5">
        <v>2.65</v>
      </c>
      <c r="F22" cm="1">
        <f t="array" ref="F22">INDEX($E$2:$E$128, ROWS($E$2:$E$128) - ROW(A21) + 1)</f>
        <v>1.6</v>
      </c>
    </row>
    <row r="23" spans="1:8">
      <c r="A23" s="2" t="s">
        <v>21</v>
      </c>
      <c r="B23" s="6">
        <v>7.0196152379999992</v>
      </c>
      <c r="C23" s="1">
        <v>1.37</v>
      </c>
      <c r="D23" s="4">
        <v>1.2809999999999999</v>
      </c>
      <c r="E23" s="5">
        <v>2.64</v>
      </c>
      <c r="F23" cm="1">
        <f t="array" ref="F23">INDEX($E$2:$E$128, ROWS($E$2:$E$128) - ROW(A22) + 1)</f>
        <v>1.59</v>
      </c>
      <c r="H23" t="s">
        <v>136</v>
      </c>
    </row>
    <row r="24" spans="1:8">
      <c r="A24" s="2" t="s">
        <v>22</v>
      </c>
      <c r="B24" s="6">
        <v>6.9684236359999998</v>
      </c>
      <c r="C24" s="1">
        <v>1.48</v>
      </c>
      <c r="D24" s="3">
        <v>1.484</v>
      </c>
      <c r="E24" s="5">
        <v>2.64</v>
      </c>
      <c r="F24" cm="1">
        <f t="array" ref="F24">INDEX($E$2:$E$128, ROWS($E$2:$E$128) - ROW(A23) + 1)</f>
        <v>1.59</v>
      </c>
    </row>
    <row r="25" spans="1:8">
      <c r="A25" s="2" t="s">
        <v>23</v>
      </c>
      <c r="B25" s="6">
        <v>7.2072684999999996</v>
      </c>
      <c r="C25" s="1">
        <v>1.51</v>
      </c>
      <c r="D25" s="4">
        <v>1.5549999999999999</v>
      </c>
      <c r="E25" s="5">
        <v>2.4</v>
      </c>
      <c r="F25" cm="1">
        <f t="array" ref="F25">INDEX($E$2:$E$128, ROWS($E$2:$E$128) - ROW(A24) + 1)</f>
        <v>1.6</v>
      </c>
    </row>
    <row r="26" spans="1:8">
      <c r="A26" s="2" t="s">
        <v>24</v>
      </c>
      <c r="B26" s="6">
        <v>6.9370014289999986</v>
      </c>
      <c r="C26" s="1">
        <v>1.42</v>
      </c>
      <c r="D26" s="3">
        <v>1.78</v>
      </c>
      <c r="E26" s="5">
        <v>2.2599999999999998</v>
      </c>
      <c r="F26" cm="1">
        <f t="array" ref="F26">INDEX($E$2:$E$128, ROWS($E$2:$E$128) - ROW(A25) + 1)</f>
        <v>1.59</v>
      </c>
    </row>
    <row r="27" spans="1:8">
      <c r="A27" s="2" t="s">
        <v>25</v>
      </c>
      <c r="B27" s="6">
        <v>6.8274747370000002</v>
      </c>
      <c r="C27" s="1">
        <v>1.41</v>
      </c>
      <c r="D27" s="4">
        <v>2.1040000000000001</v>
      </c>
      <c r="E27" s="5">
        <v>2.17</v>
      </c>
      <c r="F27" cm="1">
        <f t="array" ref="F27">INDEX($E$2:$E$128, ROWS($E$2:$E$128) - ROW(A26) + 1)</f>
        <v>1.59</v>
      </c>
    </row>
    <row r="28" spans="1:8">
      <c r="A28" s="2" t="s">
        <v>26</v>
      </c>
      <c r="B28" s="6">
        <v>6.8582440910000004</v>
      </c>
      <c r="C28" s="1">
        <v>1.43</v>
      </c>
      <c r="D28" s="3">
        <v>2.367</v>
      </c>
      <c r="E28" s="5">
        <v>2</v>
      </c>
      <c r="F28" cm="1">
        <f t="array" ref="F28">INDEX($E$2:$E$128, ROWS($E$2:$E$128) - ROW(A27) + 1)</f>
        <v>1.59</v>
      </c>
    </row>
    <row r="29" spans="1:8">
      <c r="A29" s="2" t="s">
        <v>27</v>
      </c>
      <c r="B29" s="6">
        <v>6.8545005560000014</v>
      </c>
      <c r="C29" s="1">
        <v>1.39</v>
      </c>
      <c r="D29" s="4">
        <v>2.347</v>
      </c>
      <c r="E29" s="5">
        <v>1.91</v>
      </c>
      <c r="F29" cm="1">
        <f t="array" ref="F29">INDEX($E$2:$E$128, ROWS($E$2:$E$128) - ROW(A28) + 1)</f>
        <v>1.59</v>
      </c>
    </row>
    <row r="30" spans="1:8">
      <c r="A30" s="2" t="s">
        <v>28</v>
      </c>
      <c r="B30" s="6">
        <v>6.8561860000000001</v>
      </c>
      <c r="C30" s="1">
        <v>1.36</v>
      </c>
      <c r="D30" s="3">
        <v>2.177</v>
      </c>
      <c r="E30" s="5">
        <v>1.79</v>
      </c>
      <c r="F30" cm="1">
        <f t="array" ref="F30">INDEX($E$2:$E$128, ROWS($E$2:$E$128) - ROW(A29) + 1)</f>
        <v>1.59</v>
      </c>
    </row>
    <row r="31" spans="1:8">
      <c r="A31" s="2" t="s">
        <v>29</v>
      </c>
      <c r="B31" s="6">
        <v>6.8872918749999998</v>
      </c>
      <c r="C31" s="1">
        <v>1.36</v>
      </c>
      <c r="D31" s="4">
        <v>2.0939999999999999</v>
      </c>
      <c r="E31" s="5">
        <v>1.73</v>
      </c>
      <c r="F31" cm="1">
        <f t="array" ref="F31">INDEX($E$2:$E$128, ROWS($E$2:$E$128) - ROW(A30) + 1)</f>
        <v>1.59</v>
      </c>
    </row>
    <row r="32" spans="1:8">
      <c r="A32" s="2" t="s">
        <v>30</v>
      </c>
      <c r="B32" s="6">
        <v>6.9004190479999998</v>
      </c>
      <c r="C32" s="1">
        <v>1.37</v>
      </c>
      <c r="D32" s="3">
        <v>2.1520000000000001</v>
      </c>
      <c r="E32" s="5">
        <v>1.54</v>
      </c>
      <c r="F32" cm="1">
        <f t="array" ref="F32">INDEX($E$2:$E$128, ROWS($E$2:$E$128) - ROW(A31) + 1)</f>
        <v>1.58</v>
      </c>
    </row>
    <row r="33" spans="1:6">
      <c r="A33" s="2" t="s">
        <v>31</v>
      </c>
      <c r="B33" s="6">
        <v>6.2344813639999996</v>
      </c>
      <c r="C33" s="1">
        <v>1.36</v>
      </c>
      <c r="D33" s="4">
        <v>2.16</v>
      </c>
      <c r="E33" s="5">
        <v>1.43</v>
      </c>
      <c r="F33" cm="1">
        <f t="array" ref="F33">INDEX($E$2:$E$128, ROWS($E$2:$E$128) - ROW(A32) + 1)</f>
        <v>1.58</v>
      </c>
    </row>
    <row r="34" spans="1:6">
      <c r="A34" s="2" t="s">
        <v>32</v>
      </c>
      <c r="B34" s="6">
        <v>5.3786363160000006</v>
      </c>
      <c r="C34" s="1">
        <v>1.35</v>
      </c>
      <c r="D34" s="3">
        <v>2.06</v>
      </c>
      <c r="E34" s="5">
        <v>1.31</v>
      </c>
      <c r="F34" cm="1">
        <f t="array" ref="F34">INDEX($E$2:$E$128, ROWS($E$2:$E$128) - ROW(A33) + 1)</f>
        <v>1.58</v>
      </c>
    </row>
    <row r="35" spans="1:6">
      <c r="A35" s="2" t="s">
        <v>33</v>
      </c>
      <c r="B35" s="6">
        <v>5.193181364</v>
      </c>
      <c r="C35" s="1">
        <v>1.41</v>
      </c>
      <c r="D35" s="4">
        <v>1.958</v>
      </c>
      <c r="E35" s="5">
        <v>1.24</v>
      </c>
      <c r="F35" cm="1">
        <f t="array" ref="F35">INDEX($E$2:$E$128, ROWS($E$2:$E$128) - ROW(A34) + 1)</f>
        <v>1.57</v>
      </c>
    </row>
    <row r="36" spans="1:6">
      <c r="A36" s="2" t="s">
        <v>34</v>
      </c>
      <c r="B36" s="6">
        <v>5.1976263640000004</v>
      </c>
      <c r="C36" s="1">
        <v>1.57</v>
      </c>
      <c r="D36" s="3">
        <v>2.1480000000000001</v>
      </c>
      <c r="E36" s="5">
        <v>1.03</v>
      </c>
      <c r="F36" cm="1">
        <f t="array" ref="F36">INDEX($E$2:$E$128, ROWS($E$2:$E$128) - ROW(A35) + 1)</f>
        <v>1.57</v>
      </c>
    </row>
    <row r="37" spans="1:6">
      <c r="A37" s="2" t="s">
        <v>35</v>
      </c>
      <c r="B37" s="6">
        <v>5.3784110529999998</v>
      </c>
      <c r="C37" s="1">
        <v>1.67</v>
      </c>
      <c r="D37" s="4">
        <v>2.2770000000000001</v>
      </c>
      <c r="E37" s="5">
        <v>0.87</v>
      </c>
      <c r="F37" cm="1">
        <f t="array" ref="F37">INDEX($E$2:$E$128, ROWS($E$2:$E$128) - ROW(A36) + 1)</f>
        <v>1.57</v>
      </c>
    </row>
    <row r="38" spans="1:6">
      <c r="A38" s="2" t="s">
        <v>36</v>
      </c>
      <c r="B38" s="6">
        <v>5.3085063639999994</v>
      </c>
      <c r="C38" s="1">
        <v>1.65</v>
      </c>
      <c r="D38" s="3">
        <v>2.67</v>
      </c>
      <c r="E38" s="5">
        <v>0.73</v>
      </c>
      <c r="F38" cm="1">
        <f t="array" ref="F38">INDEX($E$2:$E$128, ROWS($E$2:$E$128) - ROW(A37) + 1)</f>
        <v>1.57</v>
      </c>
    </row>
    <row r="39" spans="1:6">
      <c r="A39" s="2" t="s">
        <v>37</v>
      </c>
      <c r="B39" s="6">
        <v>5.3054336839999996</v>
      </c>
      <c r="C39" s="1">
        <v>1.64</v>
      </c>
      <c r="D39" s="4">
        <v>3.008</v>
      </c>
      <c r="E39" s="5">
        <v>0.67</v>
      </c>
      <c r="F39" cm="1">
        <f t="array" ref="F39">INDEX($E$2:$E$128, ROWS($E$2:$E$128) - ROW(A38) + 1)</f>
        <v>1.57</v>
      </c>
    </row>
    <row r="40" spans="1:6">
      <c r="A40" s="2" t="s">
        <v>38</v>
      </c>
      <c r="B40" s="6">
        <v>5.3236019050000003</v>
      </c>
      <c r="C40" s="1">
        <v>1.64</v>
      </c>
      <c r="D40" s="3">
        <v>3.44</v>
      </c>
      <c r="E40" s="5">
        <v>0.63</v>
      </c>
      <c r="F40" cm="1">
        <f t="array" ref="F40">INDEX($E$2:$E$128, ROWS($E$2:$E$128) - ROW(A39) + 1)</f>
        <v>1.57</v>
      </c>
    </row>
    <row r="41" spans="1:6">
      <c r="A41" s="2" t="s">
        <v>39</v>
      </c>
      <c r="B41" s="6">
        <v>5.4532833329999999</v>
      </c>
      <c r="C41" s="1">
        <v>1.65</v>
      </c>
      <c r="D41" s="4">
        <v>3.407</v>
      </c>
      <c r="E41" s="5">
        <v>0.63</v>
      </c>
      <c r="F41" cm="1">
        <f t="array" ref="F41">INDEX($E$2:$E$128, ROWS($E$2:$E$128) - ROW(A40) + 1)</f>
        <v>1.57</v>
      </c>
    </row>
    <row r="42" spans="1:6">
      <c r="A42" s="2" t="s">
        <v>40</v>
      </c>
      <c r="B42" s="6">
        <v>6.2488570000000001</v>
      </c>
      <c r="C42" s="1">
        <v>1.65</v>
      </c>
      <c r="D42" s="3">
        <v>3.3559999999999999</v>
      </c>
      <c r="E42" s="5">
        <v>0.63</v>
      </c>
      <c r="F42" cm="1">
        <f t="array" ref="F42">INDEX($E$2:$E$128, ROWS($E$2:$E$128) - ROW(A41) + 1)</f>
        <v>1.58</v>
      </c>
    </row>
    <row r="43" spans="1:6">
      <c r="A43" s="2" t="s">
        <v>41</v>
      </c>
      <c r="B43" s="6">
        <v>7.1022192860000004</v>
      </c>
      <c r="C43" s="1">
        <v>1.67</v>
      </c>
      <c r="D43" s="4">
        <v>3.2970000000000002</v>
      </c>
      <c r="E43" s="5">
        <v>0.62</v>
      </c>
      <c r="F43" cm="1">
        <f t="array" ref="F43">INDEX($E$2:$E$128, ROWS($E$2:$E$128) - ROW(A42) + 1)</f>
        <v>1.58</v>
      </c>
    </row>
    <row r="44" spans="1:6">
      <c r="A44" s="2" t="s">
        <v>42</v>
      </c>
      <c r="B44" s="6">
        <v>7.2372459089999994</v>
      </c>
      <c r="C44" s="1">
        <v>1.68</v>
      </c>
      <c r="D44" s="3">
        <v>3.2389999999999999</v>
      </c>
      <c r="E44" s="5">
        <v>0.62</v>
      </c>
      <c r="F44" cm="1">
        <f t="array" ref="F44">INDEX($E$2:$E$128, ROWS($E$2:$E$128) - ROW(A43) + 1)</f>
        <v>1.58</v>
      </c>
    </row>
    <row r="45" spans="1:6">
      <c r="A45" s="2" t="s">
        <v>43</v>
      </c>
      <c r="B45" s="6">
        <v>7.0705876189999994</v>
      </c>
      <c r="C45" s="1">
        <v>1.67</v>
      </c>
      <c r="D45" s="4">
        <v>3.3490000000000002</v>
      </c>
      <c r="E45" s="5">
        <v>0.62</v>
      </c>
      <c r="F45" cm="1">
        <f t="array" ref="F45">INDEX($E$2:$E$128, ROWS($E$2:$E$128) - ROW(A44) + 1)</f>
        <v>1.59</v>
      </c>
    </row>
    <row r="46" spans="1:6">
      <c r="A46" s="2" t="s">
        <v>44</v>
      </c>
      <c r="B46" s="6">
        <v>7.1381789470000001</v>
      </c>
      <c r="C46" s="1">
        <v>1.67</v>
      </c>
      <c r="D46" s="3">
        <v>4.7779999999999996</v>
      </c>
      <c r="E46" s="5">
        <v>0.62</v>
      </c>
      <c r="F46" cm="1">
        <f t="array" ref="F46">INDEX($E$2:$E$128, ROWS($E$2:$E$128) - ROW(A45) + 1)</f>
        <v>1.59</v>
      </c>
    </row>
    <row r="47" spans="1:6">
      <c r="A47" s="2" t="s">
        <v>45</v>
      </c>
      <c r="B47" s="6">
        <v>7.4594313039999998</v>
      </c>
      <c r="C47" s="1">
        <v>1.76</v>
      </c>
      <c r="D47" s="4">
        <v>5.181</v>
      </c>
      <c r="E47" s="5">
        <v>0.62</v>
      </c>
      <c r="F47" cm="1">
        <f t="array" ref="F47">INDEX($E$2:$E$128, ROWS($E$2:$E$128) - ROW(A46) + 1)</f>
        <v>1.6</v>
      </c>
    </row>
    <row r="48" spans="1:6">
      <c r="A48" s="2" t="s">
        <v>46</v>
      </c>
      <c r="B48" s="6">
        <v>7.61</v>
      </c>
      <c r="C48" s="1">
        <v>1.81</v>
      </c>
      <c r="D48" s="3">
        <v>5.3559999999999999</v>
      </c>
      <c r="E48" s="5">
        <v>0.62</v>
      </c>
      <c r="F48" cm="1">
        <f t="array" ref="F48">INDEX($E$2:$E$128, ROWS($E$2:$E$128) - ROW(A47) + 1)</f>
        <v>1.61</v>
      </c>
    </row>
    <row r="49" spans="1:6">
      <c r="A49" s="2" t="s">
        <v>47</v>
      </c>
      <c r="B49" s="6">
        <v>7.69</v>
      </c>
      <c r="C49" s="1">
        <v>1.89</v>
      </c>
      <c r="D49" s="4">
        <v>5.444</v>
      </c>
      <c r="E49" s="5">
        <v>0.62</v>
      </c>
      <c r="F49" cm="1">
        <f t="array" ref="F49">INDEX($E$2:$E$128, ROWS($E$2:$E$128) - ROW(A48) + 1)</f>
        <v>1.71</v>
      </c>
    </row>
    <row r="50" spans="1:6">
      <c r="A50" s="2" t="s">
        <v>48</v>
      </c>
      <c r="B50" s="6">
        <v>7.49</v>
      </c>
      <c r="C50" s="1">
        <v>1.86</v>
      </c>
      <c r="D50" s="3">
        <v>5.5750000000000002</v>
      </c>
      <c r="E50" s="5">
        <v>0.62</v>
      </c>
      <c r="F50" cm="1">
        <f t="array" ref="F50">INDEX($E$2:$E$128, ROWS($E$2:$E$128) - ROW(A49) + 1)</f>
        <v>1.87</v>
      </c>
    </row>
    <row r="51" spans="1:6">
      <c r="A51" s="2" t="s">
        <v>49</v>
      </c>
      <c r="B51" s="6">
        <v>7.36</v>
      </c>
      <c r="C51" s="1">
        <v>1.86</v>
      </c>
      <c r="D51" s="4">
        <v>5.7539999999999996</v>
      </c>
      <c r="E51" s="5">
        <v>0.62</v>
      </c>
      <c r="F51" cm="1">
        <f t="array" ref="F51">INDEX($E$2:$E$128, ROWS($E$2:$E$128) - ROW(A50) + 1)</f>
        <v>1.87</v>
      </c>
    </row>
    <row r="52" spans="1:6">
      <c r="A52" s="2" t="s">
        <v>50</v>
      </c>
      <c r="B52" s="6">
        <v>7.23</v>
      </c>
      <c r="C52" s="1">
        <v>1.87</v>
      </c>
      <c r="D52" s="3">
        <v>5.6059999999999999</v>
      </c>
      <c r="E52" s="5">
        <v>0.62</v>
      </c>
      <c r="F52" cm="1">
        <f t="array" ref="F52">INDEX($E$2:$E$128, ROWS($E$2:$E$128) - ROW(A51) + 1)</f>
        <v>1.87</v>
      </c>
    </row>
    <row r="53" spans="1:6">
      <c r="A53" s="2" t="s">
        <v>51</v>
      </c>
      <c r="B53" s="6">
        <v>7.21</v>
      </c>
      <c r="C53" s="1">
        <v>1.84</v>
      </c>
      <c r="D53" s="4">
        <v>5.3090000000000002</v>
      </c>
      <c r="E53" s="5">
        <v>0.62</v>
      </c>
      <c r="F53" cm="1">
        <f t="array" ref="F53">INDEX($E$2:$E$128, ROWS($E$2:$E$128) - ROW(A52) + 1)</f>
        <v>1.88</v>
      </c>
    </row>
    <row r="54" spans="1:6">
      <c r="A54" s="2" t="s">
        <v>52</v>
      </c>
      <c r="B54" s="6">
        <v>7.24</v>
      </c>
      <c r="C54" s="1">
        <v>1.8</v>
      </c>
      <c r="D54" s="3">
        <v>4.5960000000000001</v>
      </c>
      <c r="E54" s="5">
        <v>0.63</v>
      </c>
      <c r="F54" cm="1">
        <f t="array" ref="F54">INDEX($E$2:$E$128, ROWS($E$2:$E$128) - ROW(A53) + 1)</f>
        <v>1.88</v>
      </c>
    </row>
    <row r="55" spans="1:6">
      <c r="A55" s="2" t="s">
        <v>53</v>
      </c>
      <c r="B55" s="6">
        <v>7.11</v>
      </c>
      <c r="C55" s="1">
        <v>1.72</v>
      </c>
      <c r="D55" s="4">
        <v>3.8260000000000001</v>
      </c>
      <c r="E55" s="5">
        <v>0.63</v>
      </c>
      <c r="F55" cm="1">
        <f t="array" ref="F55">INDEX($E$2:$E$128, ROWS($E$2:$E$128) - ROW(A54) + 1)</f>
        <v>1.87</v>
      </c>
    </row>
    <row r="56" spans="1:6">
      <c r="A56" s="2" t="s">
        <v>54</v>
      </c>
      <c r="B56" s="6">
        <v>6.64</v>
      </c>
      <c r="C56" s="1">
        <v>1.63</v>
      </c>
      <c r="D56" s="3">
        <v>3.3260000000000001</v>
      </c>
      <c r="E56" s="5">
        <v>0.62</v>
      </c>
      <c r="F56" cm="1">
        <f t="array" ref="F56">INDEX($E$2:$E$128, ROWS($E$2:$E$128) - ROW(A55) + 1)</f>
        <v>1.87</v>
      </c>
    </row>
    <row r="57" spans="1:6">
      <c r="A57" s="2" t="s">
        <v>55</v>
      </c>
      <c r="B57" s="6">
        <v>6.29</v>
      </c>
      <c r="C57" s="1">
        <v>1.46</v>
      </c>
      <c r="D57" s="4">
        <v>3.093</v>
      </c>
      <c r="E57" s="5">
        <v>0.62</v>
      </c>
      <c r="F57" cm="1">
        <f t="array" ref="F57">INDEX($E$2:$E$128, ROWS($E$2:$E$128) - ROW(A56) + 1)</f>
        <v>1.68</v>
      </c>
    </row>
    <row r="58" spans="1:6">
      <c r="A58" s="2" t="s">
        <v>56</v>
      </c>
      <c r="B58" s="6">
        <v>6.04</v>
      </c>
      <c r="C58" s="1">
        <v>1.49</v>
      </c>
      <c r="D58" s="3">
        <v>2.9950000000000001</v>
      </c>
      <c r="E58" s="5">
        <v>0.63</v>
      </c>
      <c r="F58" cm="1">
        <f t="array" ref="F58">INDEX($E$2:$E$128, ROWS($E$2:$E$128) - ROW(A57) + 1)</f>
        <v>1.62</v>
      </c>
    </row>
    <row r="59" spans="1:6">
      <c r="A59" s="2" t="s">
        <v>57</v>
      </c>
      <c r="B59" s="6">
        <v>5.74</v>
      </c>
      <c r="C59" s="1">
        <v>1.46</v>
      </c>
      <c r="D59" s="4">
        <v>3.1680000000000001</v>
      </c>
      <c r="E59" s="5">
        <v>0.63</v>
      </c>
      <c r="F59" cm="1">
        <f t="array" ref="F59">INDEX($E$2:$E$128, ROWS($E$2:$E$128) - ROW(A58) + 1)</f>
        <v>1.62</v>
      </c>
    </row>
    <row r="60" spans="1:6">
      <c r="A60" s="2" t="s">
        <v>58</v>
      </c>
      <c r="B60" s="6">
        <v>5.5</v>
      </c>
      <c r="C60" s="1">
        <v>1.48</v>
      </c>
      <c r="D60" s="3">
        <v>3.1920000000000002</v>
      </c>
      <c r="E60" s="5">
        <v>0.63</v>
      </c>
      <c r="F60" cm="1">
        <f t="array" ref="F60">INDEX($E$2:$E$128, ROWS($E$2:$E$128) - ROW(A59) + 1)</f>
        <v>1.42</v>
      </c>
    </row>
    <row r="61" spans="1:6">
      <c r="A61" s="2" t="s">
        <v>59</v>
      </c>
      <c r="B61" s="6">
        <v>5.5</v>
      </c>
      <c r="C61" s="1">
        <v>1.51</v>
      </c>
      <c r="D61" s="4">
        <v>3.2985000000000002</v>
      </c>
      <c r="E61" s="5">
        <v>0.63</v>
      </c>
      <c r="F61" cm="1">
        <f t="array" ref="F61">INDEX($E$2:$E$128, ROWS($E$2:$E$128) - ROW(A60) + 1)</f>
        <v>1.37</v>
      </c>
    </row>
    <row r="62" spans="1:6">
      <c r="A62" s="2" t="s">
        <v>60</v>
      </c>
      <c r="B62" s="6">
        <v>5.47</v>
      </c>
      <c r="C62" s="1">
        <v>1.45</v>
      </c>
      <c r="D62" s="3">
        <v>3.0942500000000002</v>
      </c>
      <c r="E62" s="5">
        <v>0.63</v>
      </c>
      <c r="F62" cm="1">
        <f t="array" ref="F62">INDEX($E$2:$E$128, ROWS($E$2:$E$128) - ROW(A61) + 1)</f>
        <v>1.37</v>
      </c>
    </row>
    <row r="63" spans="1:6">
      <c r="A63" s="2" t="s">
        <v>61</v>
      </c>
      <c r="B63" s="6">
        <v>5.33</v>
      </c>
      <c r="C63" s="1">
        <v>1.34</v>
      </c>
      <c r="D63" s="4">
        <v>3.0185</v>
      </c>
      <c r="E63" s="5">
        <v>0.63</v>
      </c>
      <c r="F63" cm="1">
        <f t="array" ref="F63">INDEX($E$2:$E$128, ROWS($E$2:$E$128) - ROW(A62) + 1)</f>
        <v>1.1599999999999999</v>
      </c>
    </row>
    <row r="64" spans="1:6">
      <c r="A64" s="2" t="s">
        <v>62</v>
      </c>
      <c r="B64" s="6">
        <v>5.0199999999999996</v>
      </c>
      <c r="C64" s="1">
        <v>1.1599999999999999</v>
      </c>
      <c r="D64" s="3">
        <v>3.2044100000000002</v>
      </c>
      <c r="E64" s="5">
        <v>0.78</v>
      </c>
      <c r="F64" cm="1">
        <f t="array" ref="F64">INDEX($E$2:$E$128, ROWS($E$2:$E$128) - ROW(A63) + 1)</f>
        <v>1.04</v>
      </c>
    </row>
    <row r="65" spans="1:6">
      <c r="A65" s="2" t="s">
        <v>63</v>
      </c>
      <c r="B65" s="6">
        <v>4.9000000000000004</v>
      </c>
      <c r="C65" s="1">
        <v>1.06</v>
      </c>
      <c r="D65" s="4">
        <v>2.2341000000000002</v>
      </c>
      <c r="E65" s="5">
        <v>0.87</v>
      </c>
      <c r="F65" cm="1">
        <f t="array" ref="F65">INDEX($E$2:$E$128, ROWS($E$2:$E$128) - ROW(A64) + 1)</f>
        <v>0.87</v>
      </c>
    </row>
    <row r="66" spans="1:6">
      <c r="A66" s="2" t="s">
        <v>64</v>
      </c>
      <c r="B66" s="6">
        <v>4.9000000000000004</v>
      </c>
      <c r="C66" s="1">
        <v>0.91</v>
      </c>
      <c r="D66" s="3">
        <v>1.9782</v>
      </c>
      <c r="E66" s="5">
        <v>1.04</v>
      </c>
      <c r="F66" cm="1">
        <f t="array" ref="F66">INDEX($E$2:$E$128, ROWS($E$2:$E$128) - ROW(A65) + 1)</f>
        <v>0.78</v>
      </c>
    </row>
    <row r="67" spans="1:6">
      <c r="A67" s="2" t="s">
        <v>65</v>
      </c>
      <c r="B67" s="6">
        <v>4.8099999999999996</v>
      </c>
      <c r="C67" s="1">
        <v>0.67</v>
      </c>
      <c r="D67" s="4">
        <v>1.5192000000000001</v>
      </c>
      <c r="E67" s="5">
        <v>1.1599999999999999</v>
      </c>
      <c r="F67" cm="1">
        <f t="array" ref="F67">INDEX($E$2:$E$128, ROWS($E$2:$E$128) - ROW(A66) + 1)</f>
        <v>0.63</v>
      </c>
    </row>
    <row r="68" spans="1:6">
      <c r="A68" s="2" t="s">
        <v>66</v>
      </c>
      <c r="B68" s="6">
        <v>4.53</v>
      </c>
      <c r="C68" s="1">
        <v>0.64</v>
      </c>
      <c r="D68" s="3">
        <v>1.1457999999999999</v>
      </c>
      <c r="E68" s="5">
        <v>1.37</v>
      </c>
      <c r="F68" cm="1">
        <f t="array" ref="F68">INDEX($E$2:$E$128, ROWS($E$2:$E$128) - ROW(A67) + 1)</f>
        <v>0.63</v>
      </c>
    </row>
    <row r="69" spans="1:6">
      <c r="A69" s="2" t="s">
        <v>67</v>
      </c>
      <c r="B69" s="6">
        <v>4.34</v>
      </c>
      <c r="C69" s="1">
        <v>0.57999999999999996</v>
      </c>
      <c r="D69" s="4">
        <v>1.1520999999999999</v>
      </c>
      <c r="E69" s="5">
        <v>1.37</v>
      </c>
      <c r="F69" cm="1">
        <f t="array" ref="F69">INDEX($E$2:$E$128, ROWS($E$2:$E$128) - ROW(A68) + 1)</f>
        <v>0.63</v>
      </c>
    </row>
    <row r="70" spans="1:6">
      <c r="A70" s="2" t="s">
        <v>68</v>
      </c>
      <c r="B70" s="6">
        <v>4.3099999999999996</v>
      </c>
      <c r="C70" s="1">
        <v>0.65</v>
      </c>
      <c r="D70" s="3">
        <v>1.0944</v>
      </c>
      <c r="E70" s="5">
        <v>1.42</v>
      </c>
      <c r="F70" cm="1">
        <f t="array" ref="F70">INDEX($E$2:$E$128, ROWS($E$2:$E$128) - ROW(A69) + 1)</f>
        <v>0.63</v>
      </c>
    </row>
    <row r="71" spans="1:6">
      <c r="A71" s="2" t="s">
        <v>69</v>
      </c>
      <c r="B71" s="6">
        <v>4.3</v>
      </c>
      <c r="C71" s="1">
        <v>0.66</v>
      </c>
      <c r="D71" s="4">
        <v>1.0217083333333301</v>
      </c>
      <c r="E71" s="5">
        <v>1.62</v>
      </c>
      <c r="F71" cm="1">
        <f t="array" ref="F71">INDEX($E$2:$E$128, ROWS($E$2:$E$128) - ROW(A70) + 1)</f>
        <v>0.63</v>
      </c>
    </row>
    <row r="72" spans="1:6">
      <c r="A72" s="2" t="s">
        <v>70</v>
      </c>
      <c r="B72" s="6">
        <v>4.22</v>
      </c>
      <c r="C72" s="1">
        <v>0.65</v>
      </c>
      <c r="D72" s="3">
        <v>1.0143</v>
      </c>
      <c r="E72" s="5">
        <v>1.62</v>
      </c>
      <c r="F72" cm="1">
        <f t="array" ref="F72">INDEX($E$2:$E$128, ROWS($E$2:$E$128) - ROW(A71) + 1)</f>
        <v>0.63</v>
      </c>
    </row>
    <row r="73" spans="1:6">
      <c r="A73" s="2" t="s">
        <v>71</v>
      </c>
      <c r="B73" s="6">
        <v>4.0599999999999996</v>
      </c>
      <c r="C73" s="1">
        <v>0.75</v>
      </c>
      <c r="D73" s="4">
        <v>0.97995454545454497</v>
      </c>
      <c r="E73" s="5">
        <v>1.68</v>
      </c>
      <c r="F73" cm="1">
        <f t="array" ref="F73">INDEX($E$2:$E$128, ROWS($E$2:$E$128) - ROW(A72) + 1)</f>
        <v>0.62</v>
      </c>
    </row>
    <row r="74" spans="1:6">
      <c r="A74" s="2" t="s">
        <v>72</v>
      </c>
      <c r="B74" s="6">
        <v>4.05</v>
      </c>
      <c r="C74" s="1">
        <v>0.75</v>
      </c>
      <c r="D74" s="3">
        <v>0.87042307692307697</v>
      </c>
      <c r="E74" s="5">
        <v>1.87</v>
      </c>
      <c r="F74" cm="1">
        <f t="array" ref="F74">INDEX($E$2:$E$128, ROWS($E$2:$E$128) - ROW(A73) + 1)</f>
        <v>0.62</v>
      </c>
    </row>
    <row r="75" spans="1:6">
      <c r="A75" s="2" t="s">
        <v>73</v>
      </c>
      <c r="B75" s="6">
        <v>3.96</v>
      </c>
      <c r="C75" s="1">
        <v>0.74</v>
      </c>
      <c r="D75" s="4">
        <v>1.2080740740740701</v>
      </c>
      <c r="E75" s="5">
        <v>1.87</v>
      </c>
      <c r="F75" cm="1">
        <f t="array" ref="F75">INDEX($E$2:$E$128, ROWS($E$2:$E$128) - ROW(A74) + 1)</f>
        <v>0.63</v>
      </c>
    </row>
    <row r="76" spans="1:6">
      <c r="A76" s="2" t="s">
        <v>74</v>
      </c>
      <c r="B76" s="6">
        <v>3.76</v>
      </c>
      <c r="C76" s="1">
        <v>0.75</v>
      </c>
      <c r="D76" s="3">
        <v>1.3345</v>
      </c>
      <c r="E76" s="5">
        <v>1.88</v>
      </c>
      <c r="F76" cm="1">
        <f t="array" ref="F76">INDEX($E$2:$E$128, ROWS($E$2:$E$128) - ROW(A75) + 1)</f>
        <v>0.63</v>
      </c>
    </row>
    <row r="77" spans="1:6">
      <c r="A77" s="2" t="s">
        <v>75</v>
      </c>
      <c r="B77" s="6">
        <v>3.75</v>
      </c>
      <c r="C77" s="1">
        <v>0.72</v>
      </c>
      <c r="D77" s="4">
        <v>1.2695172413793101</v>
      </c>
      <c r="E77" s="5">
        <v>1.88</v>
      </c>
      <c r="F77" cm="1">
        <f t="array" ref="F77">INDEX($E$2:$E$128, ROWS($E$2:$E$128) - ROW(A76) + 1)</f>
        <v>0.62</v>
      </c>
    </row>
    <row r="78" spans="1:6">
      <c r="A78" s="2" t="s">
        <v>76</v>
      </c>
      <c r="B78" s="6">
        <v>3.75</v>
      </c>
      <c r="C78" s="1">
        <v>0.66</v>
      </c>
      <c r="D78" s="3">
        <v>1.10845833333333</v>
      </c>
      <c r="E78" s="5">
        <v>1.87</v>
      </c>
      <c r="F78" cm="1">
        <f t="array" ref="F78">INDEX($E$2:$E$128, ROWS($E$2:$E$128) - ROW(A77) + 1)</f>
        <v>0.62</v>
      </c>
    </row>
    <row r="79" spans="1:6">
      <c r="A79" s="2" t="s">
        <v>77</v>
      </c>
      <c r="B79" s="6">
        <v>3.75</v>
      </c>
      <c r="C79" s="1">
        <v>0.65</v>
      </c>
      <c r="D79" s="4">
        <v>1.0609999999999999</v>
      </c>
      <c r="E79" s="5">
        <v>1.87</v>
      </c>
      <c r="F79" cm="1">
        <f t="array" ref="F79">INDEX($E$2:$E$128, ROWS($E$2:$E$128) - ROW(A78) + 1)</f>
        <v>0.62</v>
      </c>
    </row>
    <row r="80" spans="1:6">
      <c r="A80" s="2" t="s">
        <v>78</v>
      </c>
      <c r="B80" s="6">
        <v>3.75</v>
      </c>
      <c r="C80" s="1">
        <v>0.77</v>
      </c>
      <c r="D80" s="3">
        <v>1.0673999999999999</v>
      </c>
      <c r="E80" s="5">
        <v>1.87</v>
      </c>
      <c r="F80" cm="1">
        <f t="array" ref="F80">INDEX($E$2:$E$128, ROWS($E$2:$E$128) - ROW(A79) + 1)</f>
        <v>0.62</v>
      </c>
    </row>
    <row r="81" spans="1:6">
      <c r="A81" s="2" t="s">
        <v>79</v>
      </c>
      <c r="B81" s="6">
        <v>3.75</v>
      </c>
      <c r="C81" s="1">
        <v>0.79</v>
      </c>
      <c r="D81" s="4">
        <v>1.07175</v>
      </c>
      <c r="E81" s="5">
        <v>1.71</v>
      </c>
      <c r="F81" cm="1">
        <f t="array" ref="F81">INDEX($E$2:$E$128, ROWS($E$2:$E$128) - ROW(A80) + 1)</f>
        <v>0.62</v>
      </c>
    </row>
    <row r="82" spans="1:6">
      <c r="A82" s="2" t="s">
        <v>80</v>
      </c>
      <c r="B82" s="6">
        <v>3.75</v>
      </c>
      <c r="C82" s="1">
        <v>0.93</v>
      </c>
      <c r="D82" s="3">
        <v>1.103</v>
      </c>
      <c r="E82" s="5">
        <v>1.61</v>
      </c>
      <c r="F82" cm="1">
        <f t="array" ref="F82">INDEX($E$2:$E$128, ROWS($E$2:$E$128) - ROW(A81) + 1)</f>
        <v>0.62</v>
      </c>
    </row>
    <row r="83" spans="1:6">
      <c r="A83" s="2" t="s">
        <v>81</v>
      </c>
      <c r="B83" s="6">
        <v>3.75</v>
      </c>
      <c r="C83" s="1">
        <v>1.02</v>
      </c>
      <c r="D83" s="4">
        <v>1.1515</v>
      </c>
      <c r="E83" s="5">
        <v>1.6</v>
      </c>
      <c r="F83" cm="1">
        <f t="array" ref="F83">INDEX($E$2:$E$128, ROWS($E$2:$E$128) - ROW(A82) + 1)</f>
        <v>0.62</v>
      </c>
    </row>
    <row r="84" spans="1:6">
      <c r="A84" s="2" t="s">
        <v>82</v>
      </c>
      <c r="B84" s="6">
        <v>3.75</v>
      </c>
      <c r="C84" s="1">
        <v>1.2</v>
      </c>
      <c r="D84" s="3">
        <v>1.1399999999999999</v>
      </c>
      <c r="E84" s="5">
        <v>1.59</v>
      </c>
      <c r="F84" cm="1">
        <f t="array" ref="F84">INDEX($E$2:$E$128, ROWS($E$2:$E$128) - ROW(A83) + 1)</f>
        <v>0.62</v>
      </c>
    </row>
    <row r="85" spans="1:6">
      <c r="A85" s="2" t="s">
        <v>83</v>
      </c>
      <c r="B85" s="6">
        <v>3.75</v>
      </c>
      <c r="C85" s="1">
        <v>1.36</v>
      </c>
      <c r="D85" s="4">
        <v>0.86060000000000003</v>
      </c>
      <c r="E85" s="5">
        <v>1.59</v>
      </c>
      <c r="F85" cm="1">
        <f t="array" ref="F85">INDEX($E$2:$E$128, ROWS($E$2:$E$128) - ROW(A84) + 1)</f>
        <v>0.62</v>
      </c>
    </row>
    <row r="86" spans="1:6">
      <c r="A86" s="2" t="s">
        <v>84</v>
      </c>
      <c r="B86" s="6">
        <v>3.75</v>
      </c>
      <c r="C86" s="1">
        <v>1.45</v>
      </c>
      <c r="D86" s="3">
        <v>0.80633333333333301</v>
      </c>
      <c r="E86" s="5">
        <v>1.58</v>
      </c>
      <c r="F86" cm="1">
        <f t="array" ref="F86">INDEX($E$2:$E$128, ROWS($E$2:$E$128) - ROW(A85) + 1)</f>
        <v>0.62</v>
      </c>
    </row>
    <row r="87" spans="1:6">
      <c r="A87" s="2" t="s">
        <v>85</v>
      </c>
      <c r="B87" s="6">
        <v>3.75</v>
      </c>
      <c r="C87" s="1">
        <v>1.47</v>
      </c>
      <c r="D87" s="4">
        <v>1.50139200186003</v>
      </c>
      <c r="E87" s="5">
        <v>1.58</v>
      </c>
      <c r="F87" cm="1">
        <f t="array" ref="F87">INDEX($E$2:$E$128, ROWS($E$2:$E$128) - ROW(A86) + 1)</f>
        <v>0.62</v>
      </c>
    </row>
    <row r="88" spans="1:6">
      <c r="A88" s="2" t="s">
        <v>86</v>
      </c>
      <c r="B88" s="6">
        <v>3.75</v>
      </c>
      <c r="C88" s="1">
        <v>1.47</v>
      </c>
      <c r="D88" s="3">
        <v>1.2484090909090899</v>
      </c>
      <c r="E88" s="5">
        <v>1.58</v>
      </c>
      <c r="F88" cm="1">
        <f t="array" ref="F88">INDEX($E$2:$E$128, ROWS($E$2:$E$128) - ROW(A87) + 1)</f>
        <v>0.63</v>
      </c>
    </row>
    <row r="89" spans="1:6">
      <c r="A89" s="2" t="s">
        <v>87</v>
      </c>
      <c r="B89" s="6">
        <v>3.75</v>
      </c>
      <c r="C89" s="1">
        <v>1.6</v>
      </c>
      <c r="D89" s="4">
        <v>1.4844999999999999</v>
      </c>
      <c r="E89" s="5">
        <v>1.57</v>
      </c>
      <c r="F89" cm="1">
        <f t="array" ref="F89">INDEX($E$2:$E$128, ROWS($E$2:$E$128) - ROW(A88) + 1)</f>
        <v>0.63</v>
      </c>
    </row>
    <row r="90" spans="1:6">
      <c r="A90" s="2" t="s">
        <v>88</v>
      </c>
      <c r="B90" s="6">
        <v>3.75</v>
      </c>
      <c r="C90" s="1">
        <v>1.74</v>
      </c>
      <c r="D90" s="3">
        <v>1.64555229662424</v>
      </c>
      <c r="E90" s="5">
        <v>1.57</v>
      </c>
      <c r="F90" cm="1">
        <f t="array" ref="F90">INDEX($E$2:$E$128, ROWS($E$2:$E$128) - ROW(A89) + 1)</f>
        <v>0.63</v>
      </c>
    </row>
    <row r="91" spans="1:6">
      <c r="A91" s="2" t="s">
        <v>89</v>
      </c>
      <c r="B91" s="6">
        <v>3.75</v>
      </c>
      <c r="C91" s="1">
        <v>2.08</v>
      </c>
      <c r="D91" s="4">
        <v>2.0950000000000002</v>
      </c>
      <c r="E91" s="5">
        <v>1.57</v>
      </c>
      <c r="F91" cm="1">
        <f t="array" ref="F91">INDEX($E$2:$E$128, ROWS($E$2:$E$128) - ROW(A90) + 1)</f>
        <v>0.67</v>
      </c>
    </row>
    <row r="92" spans="1:6">
      <c r="A92" s="2" t="s">
        <v>90</v>
      </c>
      <c r="B92" s="6">
        <v>3.76</v>
      </c>
      <c r="C92" s="1">
        <v>2.5099999999999998</v>
      </c>
      <c r="D92" s="3">
        <v>1.96740932642487</v>
      </c>
      <c r="E92" s="5">
        <v>1.57</v>
      </c>
      <c r="F92" cm="1">
        <f t="array" ref="F92">INDEX($E$2:$E$128, ROWS($E$2:$E$128) - ROW(A91) + 1)</f>
        <v>0.73</v>
      </c>
    </row>
    <row r="93" spans="1:6">
      <c r="A93" s="2" t="s">
        <v>91</v>
      </c>
      <c r="B93" s="6">
        <v>3.98</v>
      </c>
      <c r="C93" s="1">
        <v>2.7</v>
      </c>
      <c r="D93" s="4">
        <v>2.3180000000000001</v>
      </c>
      <c r="E93" s="5">
        <v>1.57</v>
      </c>
      <c r="F93" cm="1">
        <f t="array" ref="F93">INDEX($E$2:$E$128, ROWS($E$2:$E$128) - ROW(A92) + 1)</f>
        <v>0.87</v>
      </c>
    </row>
    <row r="94" spans="1:6">
      <c r="A94" s="2" t="s">
        <v>92</v>
      </c>
      <c r="B94" s="6">
        <v>4.4800000000000004</v>
      </c>
      <c r="C94" s="1">
        <v>2.97</v>
      </c>
      <c r="D94" s="3">
        <v>4.0850940397351003</v>
      </c>
      <c r="E94" s="5">
        <v>1.57</v>
      </c>
      <c r="F94" cm="1">
        <f t="array" ref="F94">INDEX($E$2:$E$128, ROWS($E$2:$E$128) - ROW(A93) + 1)</f>
        <v>1.03</v>
      </c>
    </row>
    <row r="95" spans="1:6">
      <c r="A95" s="2" t="s">
        <v>93</v>
      </c>
      <c r="B95" s="6">
        <v>5.32</v>
      </c>
      <c r="C95" s="1">
        <v>3.52</v>
      </c>
      <c r="D95" s="4">
        <v>4.3482456140350898</v>
      </c>
      <c r="E95" s="5">
        <v>1.57</v>
      </c>
      <c r="F95" cm="1">
        <f t="array" ref="F95">INDEX($E$2:$E$128, ROWS($E$2:$E$128) - ROW(A94) + 1)</f>
        <v>1.24</v>
      </c>
    </row>
    <row r="96" spans="1:6">
      <c r="A96" s="2" t="s">
        <v>94</v>
      </c>
      <c r="B96" s="6">
        <v>5.87</v>
      </c>
      <c r="C96" s="1">
        <v>4.0199999999999996</v>
      </c>
      <c r="D96" s="3">
        <v>4.0890000000000004</v>
      </c>
      <c r="E96" s="5">
        <v>1.58</v>
      </c>
      <c r="F96" cm="1">
        <f t="array" ref="F96">INDEX($E$2:$E$128, ROWS($E$2:$E$128) - ROW(A95) + 1)</f>
        <v>1.31</v>
      </c>
    </row>
    <row r="97" spans="1:6">
      <c r="A97" s="2" t="s">
        <v>95</v>
      </c>
      <c r="B97" s="6">
        <v>6.4</v>
      </c>
      <c r="C97" s="1">
        <v>4.03</v>
      </c>
      <c r="D97" s="4">
        <v>4.2</v>
      </c>
      <c r="E97" s="5">
        <v>1.58</v>
      </c>
      <c r="F97" cm="1">
        <f t="array" ref="F97">INDEX($E$2:$E$128, ROWS($E$2:$E$128) - ROW(A96) + 1)</f>
        <v>1.43</v>
      </c>
    </row>
    <row r="98" spans="1:6">
      <c r="A98" s="2" t="s">
        <v>96</v>
      </c>
      <c r="B98" s="6">
        <v>6.65</v>
      </c>
      <c r="C98" s="1">
        <v>3.74</v>
      </c>
      <c r="D98" s="3">
        <v>4.2617084870848698</v>
      </c>
      <c r="E98" s="5">
        <v>1.58</v>
      </c>
      <c r="F98" cm="1">
        <f t="array" ref="F98">INDEX($E$2:$E$128, ROWS($E$2:$E$128) - ROW(A97) + 1)</f>
        <v>1.54</v>
      </c>
    </row>
    <row r="99" spans="1:6">
      <c r="A99" s="2" t="s">
        <v>97</v>
      </c>
      <c r="B99" s="6">
        <v>6.76</v>
      </c>
      <c r="C99" s="1">
        <v>3.54</v>
      </c>
      <c r="D99" s="4">
        <v>4.7744705247670396</v>
      </c>
      <c r="E99" s="5">
        <v>1.59</v>
      </c>
      <c r="F99" cm="1">
        <f t="array" ref="F99">INDEX($E$2:$E$128, ROWS($E$2:$E$128) - ROW(A98) + 1)</f>
        <v>1.73</v>
      </c>
    </row>
    <row r="100" spans="1:6">
      <c r="A100" s="2" t="s">
        <v>98</v>
      </c>
      <c r="B100" s="6">
        <v>6.77</v>
      </c>
      <c r="C100" s="1">
        <v>3.59</v>
      </c>
      <c r="D100" s="3">
        <v>5.3472592835777304</v>
      </c>
      <c r="E100" s="5">
        <v>1.59</v>
      </c>
      <c r="F100" cm="1">
        <f t="array" ref="F100">INDEX($E$2:$E$128, ROWS($E$2:$E$128) - ROW(A99) + 1)</f>
        <v>1.79</v>
      </c>
    </row>
    <row r="101" spans="1:6">
      <c r="A101" s="2" t="s">
        <v>99</v>
      </c>
      <c r="B101" s="6">
        <v>6.76</v>
      </c>
      <c r="C101" s="1">
        <v>3.46</v>
      </c>
      <c r="D101" s="4">
        <v>5.8416250312891096</v>
      </c>
      <c r="E101" s="5">
        <v>1.59</v>
      </c>
      <c r="F101" cm="1">
        <f t="array" ref="F101">INDEX($E$2:$E$128, ROWS($E$2:$E$128) - ROW(A100) + 1)</f>
        <v>1.91</v>
      </c>
    </row>
    <row r="102" spans="1:6">
      <c r="A102" s="2" t="s">
        <v>100</v>
      </c>
      <c r="B102" s="6">
        <v>6.76</v>
      </c>
      <c r="C102" s="1">
        <v>3.64</v>
      </c>
      <c r="D102" s="3">
        <v>5.9631245108502302</v>
      </c>
      <c r="E102" s="5">
        <v>1.59</v>
      </c>
      <c r="F102" cm="1">
        <f t="array" ref="F102">INDEX($E$2:$E$128, ROWS($E$2:$E$128) - ROW(A101) + 1)</f>
        <v>2</v>
      </c>
    </row>
    <row r="103" spans="1:6">
      <c r="A103" s="2" t="s">
        <v>101</v>
      </c>
      <c r="B103" s="6">
        <v>6.75</v>
      </c>
      <c r="C103" s="1">
        <v>3.77</v>
      </c>
      <c r="D103" s="4">
        <v>5.7343861636316102</v>
      </c>
      <c r="E103" s="5">
        <v>1.59</v>
      </c>
      <c r="F103" cm="1">
        <f t="array" ref="F103">INDEX($E$2:$E$128, ROWS($E$2:$E$128) - ROW(A102) + 1)</f>
        <v>2.17</v>
      </c>
    </row>
    <row r="104" spans="1:6">
      <c r="A104" s="2" t="s">
        <v>102</v>
      </c>
      <c r="B104" s="6">
        <v>6.75</v>
      </c>
      <c r="C104" s="1">
        <v>3.76</v>
      </c>
      <c r="D104" s="3">
        <v>5.6393978494623704</v>
      </c>
      <c r="E104" s="5">
        <v>1.59</v>
      </c>
      <c r="F104" cm="1">
        <f t="array" ref="F104">INDEX($E$2:$E$128, ROWS($E$2:$E$128) - ROW(A103) + 1)</f>
        <v>2.2599999999999998</v>
      </c>
    </row>
    <row r="105" spans="1:6">
      <c r="A105" s="2" t="s">
        <v>103</v>
      </c>
      <c r="B105" s="6">
        <v>6.74</v>
      </c>
      <c r="C105" s="1">
        <v>3.68</v>
      </c>
      <c r="D105" s="4">
        <v>5.5685000000000002</v>
      </c>
      <c r="E105" s="5">
        <v>1.6</v>
      </c>
      <c r="F105" cm="1">
        <f t="array" ref="F105">INDEX($E$2:$E$128, ROWS($E$2:$E$128) - ROW(A104) + 1)</f>
        <v>2.4</v>
      </c>
    </row>
    <row r="106" spans="1:6">
      <c r="A106" s="2" t="s">
        <v>104</v>
      </c>
      <c r="B106" s="6">
        <v>6.74</v>
      </c>
      <c r="C106" s="1">
        <v>3.76</v>
      </c>
      <c r="D106" s="3">
        <v>5.9993493276414096</v>
      </c>
      <c r="E106" s="5">
        <v>1.59</v>
      </c>
      <c r="F106" cm="1">
        <f t="array" ref="F106">INDEX($E$2:$E$128, ROWS($E$2:$E$128) - ROW(A105) + 1)</f>
        <v>2.64</v>
      </c>
    </row>
    <row r="107" spans="1:6">
      <c r="A107" s="2" t="s">
        <v>105</v>
      </c>
      <c r="B107" s="6">
        <v>6.81</v>
      </c>
      <c r="C107" s="1">
        <v>3.89</v>
      </c>
      <c r="D107" s="4">
        <v>5.8949230769230798</v>
      </c>
      <c r="E107" s="5">
        <v>1.59</v>
      </c>
      <c r="F107" cm="1">
        <f t="array" ref="F107">INDEX($E$2:$E$128, ROWS($E$2:$E$128) - ROW(A106) + 1)</f>
        <v>2.64</v>
      </c>
    </row>
    <row r="108" spans="1:6">
      <c r="A108" s="2" t="s">
        <v>106</v>
      </c>
      <c r="B108" s="6">
        <v>6.95</v>
      </c>
      <c r="C108" s="1">
        <v>3.99</v>
      </c>
      <c r="D108" s="3">
        <v>4.9960000000000004</v>
      </c>
      <c r="E108" s="5">
        <v>1.6</v>
      </c>
      <c r="F108" cm="1">
        <f t="array" ref="F108">INDEX($E$2:$E$128, ROWS($E$2:$E$128) - ROW(A107) + 1)</f>
        <v>2.65</v>
      </c>
    </row>
    <row r="109" spans="1:6">
      <c r="A109" s="2" t="s">
        <v>107</v>
      </c>
      <c r="B109" s="6">
        <v>6.95</v>
      </c>
      <c r="C109" s="1">
        <v>3.92</v>
      </c>
      <c r="D109" s="4">
        <v>5.2245925925925896</v>
      </c>
      <c r="E109" s="5">
        <v>1.59</v>
      </c>
      <c r="F109" cm="1">
        <f t="array" ref="F109">INDEX($E$2:$E$128, ROWS($E$2:$E$128) - ROW(A108) + 1)</f>
        <v>2.65</v>
      </c>
    </row>
    <row r="110" spans="1:6">
      <c r="A110" s="2" t="s">
        <v>108</v>
      </c>
      <c r="B110" s="6">
        <v>6.94</v>
      </c>
      <c r="C110" s="1">
        <v>3.71</v>
      </c>
      <c r="D110" s="3">
        <v>5.5666153846153801</v>
      </c>
      <c r="E110" s="5">
        <v>1.59</v>
      </c>
      <c r="F110" cm="1">
        <f t="array" ref="F110">INDEX($E$2:$E$128, ROWS($E$2:$E$128) - ROW(A109) + 1)</f>
        <v>2.65</v>
      </c>
    </row>
    <row r="111" spans="1:6">
      <c r="A111" s="2" t="s">
        <v>109</v>
      </c>
      <c r="B111" s="6">
        <v>6.94</v>
      </c>
      <c r="C111" s="1">
        <v>3.69</v>
      </c>
      <c r="D111" s="4">
        <v>5.7510000000000003</v>
      </c>
      <c r="E111" s="5">
        <v>1.6</v>
      </c>
      <c r="F111" cm="1">
        <f t="array" ref="F111">INDEX($E$2:$E$128, ROWS($E$2:$E$128) - ROW(A110) + 1)</f>
        <v>2.65</v>
      </c>
    </row>
    <row r="112" spans="1:6">
      <c r="A112" s="2" t="s">
        <v>110</v>
      </c>
      <c r="B112" s="6">
        <v>6.93</v>
      </c>
      <c r="C112" s="1">
        <v>3.67</v>
      </c>
      <c r="D112" s="3">
        <v>5.8205999999999998</v>
      </c>
      <c r="E112" s="5">
        <v>1.6</v>
      </c>
      <c r="F112" cm="1">
        <f t="array" ref="F112">INDEX($E$2:$E$128, ROWS($E$2:$E$128) - ROW(A111) + 1)</f>
        <v>2.65</v>
      </c>
    </row>
    <row r="113" spans="1:6">
      <c r="A113" s="2" t="s">
        <v>111</v>
      </c>
      <c r="B113" s="6">
        <v>6.99</v>
      </c>
      <c r="C113" s="1">
        <v>3.57</v>
      </c>
      <c r="D113" s="4">
        <v>5.7344999999999997</v>
      </c>
      <c r="E113" s="5">
        <v>1.6</v>
      </c>
      <c r="F113" cm="1">
        <f t="array" ref="F113">INDEX($E$2:$E$128, ROWS($E$2:$E$128) - ROW(A112) + 1)</f>
        <v>2.65</v>
      </c>
    </row>
    <row r="114" spans="1:6">
      <c r="A114" s="2" t="s">
        <v>112</v>
      </c>
      <c r="B114" s="6">
        <v>7.18</v>
      </c>
      <c r="C114" s="1">
        <v>3.59</v>
      </c>
      <c r="D114" s="3">
        <v>5.6742499999999998</v>
      </c>
      <c r="E114" s="5">
        <v>1.6</v>
      </c>
      <c r="F114" cm="1">
        <f t="array" ref="F114">INDEX($E$2:$E$128, ROWS($E$2:$E$128) - ROW(A113) + 1)</f>
        <v>2.65</v>
      </c>
    </row>
    <row r="115" spans="1:6">
      <c r="A115" s="2" t="s">
        <v>113</v>
      </c>
      <c r="B115" s="6">
        <v>7.18</v>
      </c>
      <c r="C115" s="1">
        <v>3.59</v>
      </c>
      <c r="D115" s="4">
        <v>5.7245999999999997</v>
      </c>
      <c r="E115" s="5">
        <v>1.62</v>
      </c>
      <c r="F115" cm="1">
        <f t="array" ref="F115">INDEX($E$2:$E$128, ROWS($E$2:$E$128) - ROW(A114) + 1)</f>
        <v>2.65</v>
      </c>
    </row>
    <row r="116" spans="1:6">
      <c r="A116" s="2" t="s">
        <v>114</v>
      </c>
      <c r="B116" s="6">
        <v>7.18</v>
      </c>
      <c r="C116" s="1">
        <v>3.48</v>
      </c>
      <c r="D116" s="3">
        <v>5.9085000000000001</v>
      </c>
      <c r="E116" s="5">
        <v>1.62</v>
      </c>
      <c r="F116" cm="1">
        <f t="array" ref="F116">INDEX($E$2:$E$128, ROWS($E$2:$E$128) - ROW(A115) + 1)</f>
        <v>2.65</v>
      </c>
    </row>
    <row r="117" spans="1:6">
      <c r="A117" s="2" t="s">
        <v>115</v>
      </c>
      <c r="B117" s="6">
        <v>7.18</v>
      </c>
      <c r="C117" s="1">
        <v>3.45</v>
      </c>
      <c r="D117" s="4">
        <v>5.6212</v>
      </c>
      <c r="E117" s="5">
        <v>1.63</v>
      </c>
      <c r="F117" cm="1">
        <f t="array" ref="F117">INDEX($E$2:$E$128, ROWS($E$2:$E$128) - ROW(A116) + 1)</f>
        <v>2.65</v>
      </c>
    </row>
    <row r="118" spans="1:6">
      <c r="A118" s="2" t="s">
        <v>116</v>
      </c>
      <c r="B118" s="6">
        <v>7.08</v>
      </c>
      <c r="C118" s="1">
        <v>3.49</v>
      </c>
      <c r="D118" s="3">
        <v>5.47675</v>
      </c>
      <c r="E118" s="5">
        <v>1.63</v>
      </c>
      <c r="F118" cm="1">
        <f t="array" ref="F118">INDEX($E$2:$E$128, ROWS($E$2:$E$128) - ROW(A117) + 1)</f>
        <v>2.65</v>
      </c>
    </row>
    <row r="119" spans="1:6">
      <c r="A119" s="2" t="s">
        <v>117</v>
      </c>
      <c r="B119" s="6">
        <v>6.92</v>
      </c>
      <c r="C119" s="1">
        <v>3.43</v>
      </c>
      <c r="D119" s="4">
        <v>5.6214797047970499</v>
      </c>
      <c r="E119" s="5">
        <v>1.63</v>
      </c>
      <c r="F119" cm="1">
        <f t="array" ref="F119">INDEX($E$2:$E$128, ROWS($E$2:$E$128) - ROW(A118) + 1)</f>
        <v>2.5299999999999998</v>
      </c>
    </row>
    <row r="120" spans="1:6">
      <c r="A120" s="2" t="s">
        <v>118</v>
      </c>
      <c r="B120" s="6">
        <v>6.92</v>
      </c>
      <c r="C120" s="1">
        <v>3.4</v>
      </c>
      <c r="D120" s="3">
        <v>5.7406666666666704</v>
      </c>
      <c r="E120" s="5">
        <v>1.63</v>
      </c>
      <c r="F120" cm="1">
        <f t="array" ref="F120">INDEX($E$2:$E$128, ROWS($E$2:$E$128) - ROW(A119) + 1)</f>
        <v>2.4</v>
      </c>
    </row>
    <row r="121" spans="1:6">
      <c r="A121" s="2" t="s">
        <v>119</v>
      </c>
      <c r="B121" s="6">
        <v>6.92</v>
      </c>
      <c r="C121" s="1">
        <v>3.31</v>
      </c>
      <c r="D121" s="4">
        <v>5.3835384615384596</v>
      </c>
      <c r="E121" s="5">
        <v>1.63</v>
      </c>
      <c r="F121" cm="1">
        <f t="array" ref="F121">INDEX($E$2:$E$128, ROWS($E$2:$E$128) - ROW(A120) + 1)</f>
        <v>2.4</v>
      </c>
    </row>
    <row r="122" spans="1:6">
      <c r="A122" s="2" t="s">
        <v>120</v>
      </c>
      <c r="B122" s="6">
        <v>6.81</v>
      </c>
      <c r="C122" s="1">
        <v>3.12</v>
      </c>
      <c r="D122" s="3">
        <v>5.2082727272727301</v>
      </c>
      <c r="E122" s="5">
        <v>1.65</v>
      </c>
      <c r="F122" cm="1">
        <f t="array" ref="F122">INDEX($E$2:$E$128, ROWS($E$2:$E$128) - ROW(A121) + 1)</f>
        <v>2.39</v>
      </c>
    </row>
    <row r="123" spans="1:6">
      <c r="A123" s="2" t="s">
        <v>121</v>
      </c>
      <c r="B123" s="6">
        <v>6.69</v>
      </c>
      <c r="C123" s="1">
        <v>2.98</v>
      </c>
      <c r="D123" s="4">
        <v>5.2006343558282202</v>
      </c>
      <c r="E123" s="5">
        <v>1.66</v>
      </c>
      <c r="F123" cm="1">
        <f t="array" ref="F123">INDEX($E$2:$E$128, ROWS($E$2:$E$128) - ROW(A122) + 1)</f>
        <v>2.37</v>
      </c>
    </row>
    <row r="124" spans="1:6">
      <c r="A124" s="2" t="s">
        <v>122</v>
      </c>
      <c r="B124" s="6">
        <v>6.68</v>
      </c>
      <c r="C124" s="1">
        <v>2.87</v>
      </c>
      <c r="D124" s="3">
        <v>5.47818753973299</v>
      </c>
      <c r="E124" s="5">
        <v>1.67</v>
      </c>
      <c r="F124" cm="1">
        <f t="array" ref="F124">INDEX($E$2:$E$128, ROWS($E$2:$E$128) - ROW(A123) + 1)</f>
        <v>2.15</v>
      </c>
    </row>
    <row r="125" spans="1:6">
      <c r="A125" s="2" t="s">
        <v>123</v>
      </c>
      <c r="B125" s="6">
        <v>6.69</v>
      </c>
      <c r="C125" s="1">
        <v>2.76</v>
      </c>
      <c r="D125" s="4">
        <v>5.5255000000000001</v>
      </c>
      <c r="E125" s="5">
        <v>1.91</v>
      </c>
      <c r="F125" cm="1">
        <f t="array" ref="F125">INDEX($E$2:$E$128, ROWS($E$2:$E$128) - ROW(A124) + 1)</f>
        <v>2.14</v>
      </c>
    </row>
    <row r="126" spans="1:6">
      <c r="A126" s="2" t="s">
        <v>124</v>
      </c>
      <c r="B126" s="6">
        <v>6.61</v>
      </c>
      <c r="C126" s="1">
        <v>2.66</v>
      </c>
      <c r="D126" s="3">
        <v>5.4784401772525904</v>
      </c>
      <c r="E126" s="5">
        <v>2.02</v>
      </c>
      <c r="F126" cm="1">
        <f t="array" ref="F126">INDEX($E$2:$E$128, ROWS($E$2:$E$128) - ROW(A125) + 1)</f>
        <v>1.9</v>
      </c>
    </row>
    <row r="127" spans="1:6">
      <c r="A127" s="2" t="s">
        <v>125</v>
      </c>
      <c r="B127" s="6">
        <v>6.44</v>
      </c>
      <c r="C127" s="1">
        <v>2.57</v>
      </c>
      <c r="D127" s="4">
        <v>5.45275</v>
      </c>
      <c r="E127" s="5">
        <v>2.17</v>
      </c>
      <c r="F127" cm="1">
        <f t="array" ref="F127">INDEX($E$2:$E$128, ROWS($E$2:$E$128) - ROW(A126) + 1)</f>
        <v>1.89</v>
      </c>
    </row>
    <row r="128" spans="1:6">
      <c r="A128" s="2" t="s">
        <v>126</v>
      </c>
      <c r="B128" s="6">
        <v>6.31</v>
      </c>
      <c r="C128" s="1">
        <v>2.52</v>
      </c>
      <c r="D128" s="3">
        <v>5.2565806451612902</v>
      </c>
      <c r="E128" s="5">
        <v>2.17</v>
      </c>
      <c r="F128" cm="1">
        <f t="array" ref="F128">INDEX($E$2:$E$128, ROWS($E$2:$E$128) - ROW(A127) + 1)</f>
        <v>1.89</v>
      </c>
    </row>
    <row r="129" spans="1:4">
      <c r="A129" s="2" t="s">
        <v>127</v>
      </c>
      <c r="B129" s="6">
        <v>6.07</v>
      </c>
      <c r="C129" s="1">
        <v>2.5</v>
      </c>
      <c r="D129" s="4">
        <v>4.9795662650602397</v>
      </c>
    </row>
    <row r="130" spans="1:4">
      <c r="A130" s="2" t="s">
        <v>128</v>
      </c>
      <c r="B130" s="6">
        <v>5.76</v>
      </c>
      <c r="C130" s="1">
        <v>2.5099999999999998</v>
      </c>
    </row>
    <row r="131" spans="1:4">
      <c r="A131" s="2" t="s">
        <v>129</v>
      </c>
      <c r="B131" s="6"/>
      <c r="C131" s="1">
        <v>2.54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2026-02-10T16:42:06Z</dcterms:modified>
</cp:coreProperties>
</file>
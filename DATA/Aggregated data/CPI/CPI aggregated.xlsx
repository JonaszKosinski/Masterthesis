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onas\Desktop\Masterproef\DATA\Aggregated data\CPI\"/>
    </mc:Choice>
  </mc:AlternateContent>
  <xr:revisionPtr revIDLastSave="0" documentId="13_ncr:1_{3F41880F-FC0D-496D-A8F8-E66DE7D86BE6}" xr6:coauthVersionLast="47" xr6:coauthVersionMax="47" xr10:uidLastSave="{00000000-0000-0000-0000-000000000000}"/>
  <bookViews>
    <workbookView xWindow="-108" yWindow="-108" windowWidth="23256" windowHeight="12456" xr2:uid="{00000000-000D-0000-FFFF-FFFF00000000}"/>
  </bookViews>
  <sheets>
    <sheet name="CPI" sheetId="1" r:id="rId1"/>
    <sheet name="CPI base year 2015-01" sheetId="2" r:id="rId2"/>
    <sheet name="Log(CPI)"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 i="1" l="1"/>
  <c r="Y8" i="1"/>
  <c r="X8" i="1"/>
  <c r="W8" i="1"/>
  <c r="X6" i="2"/>
  <c r="Y6" i="2"/>
  <c r="Z6" i="2"/>
  <c r="X5" i="2"/>
  <c r="Y5" i="2"/>
  <c r="Z5" i="2"/>
  <c r="X4" i="2"/>
  <c r="Y4" i="2"/>
  <c r="Z4" i="2"/>
  <c r="X3" i="2"/>
  <c r="Y3" i="2"/>
  <c r="Z3" i="2"/>
  <c r="W6" i="2"/>
  <c r="W5" i="2"/>
  <c r="W4" i="2"/>
  <c r="W3" i="2"/>
  <c r="X6" i="1"/>
  <c r="Y6" i="1"/>
  <c r="Z6" i="1"/>
  <c r="X5" i="1"/>
  <c r="Y5" i="1"/>
  <c r="Z5" i="1"/>
  <c r="X4" i="1"/>
  <c r="Y4" i="1"/>
  <c r="Z4" i="1"/>
  <c r="X3" i="1"/>
  <c r="Y3" i="1"/>
  <c r="Z3" i="1"/>
  <c r="W6" i="1"/>
  <c r="W5" i="1"/>
  <c r="W4" i="1"/>
  <c r="W3" i="1"/>
  <c r="X7" i="1"/>
  <c r="Y7" i="1"/>
  <c r="Z7" i="1"/>
  <c r="W7" i="1"/>
  <c r="W7" i="2"/>
  <c r="X7" i="2"/>
  <c r="Y7" i="2"/>
  <c r="Z7" i="2"/>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D3" i="3"/>
  <c r="E3" i="3"/>
  <c r="C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3"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3" i="2"/>
  <c r="D4" i="2"/>
  <c r="D5" i="2"/>
  <c r="E2" i="2"/>
  <c r="D2" i="2"/>
  <c r="C125" i="2"/>
  <c r="C126" i="2"/>
  <c r="C127" i="2"/>
  <c r="C128" i="2"/>
  <c r="C129" i="2"/>
  <c r="C13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C2" i="2"/>
  <c r="B2" i="2"/>
</calcChain>
</file>

<file path=xl/sharedStrings.xml><?xml version="1.0" encoding="utf-8"?>
<sst xmlns="http://schemas.openxmlformats.org/spreadsheetml/2006/main" count="424" uniqueCount="143">
  <si>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</si>
  <si>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</si>
  <si>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</si>
  <si>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</si>
  <si>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</si>
  <si>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</si>
  <si>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</si>
  <si>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</si>
  <si>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</si>
  <si>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</si>
  <si>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</si>
  <si>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</si>
  <si>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</si>
  <si>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</si>
  <si>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</si>
  <si>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</si>
  <si>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</si>
  <si>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</si>
  <si>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</si>
  <si>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</si>
  <si>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</si>
  <si>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</si>
  <si>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</si>
  <si>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</si>
  <si>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</si>
  <si>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</si>
  <si>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</si>
  <si>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</si>
  <si>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</si>
  <si>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</si>
  <si>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</si>
  <si>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</si>
  <si>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</si>
  <si>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</si>
  <si>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</si>
  <si>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</si>
  <si>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</si>
  <si>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</si>
  <si>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</si>
  <si>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</si>
  <si>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</si>
  <si>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</si>
  <si>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</si>
  <si>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</si>
  <si>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</si>
  <si>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</si>
  <si>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</si>
  <si>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</si>
  <si>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</si>
  <si>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</si>
  <si>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</si>
  <si>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</si>
  <si>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</si>
  <si>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</si>
  <si>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</si>
  <si>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</si>
  <si>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</si>
  <si>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</si>
  <si>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</si>
  <si>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</si>
  <si>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</si>
  <si>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</si>
  <si>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</si>
  <si>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</si>
  <si>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</si>
  <si>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</si>
  <si>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</si>
  <si>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</si>
  <si>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</si>
  <si>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</si>
  <si>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</si>
  <si>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</si>
  <si>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</si>
  <si>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</si>
  <si>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</si>
  <si>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</si>
  <si>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</si>
  <si>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</si>
  <si>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</si>
  <si>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</si>
  <si>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</si>
  <si>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</si>
  <si>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</si>
  <si>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</si>
  <si>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</si>
  <si>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</si>
  <si>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</si>
  <si>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</si>
  <si>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</si>
  <si>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</si>
  <si>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</si>
  <si>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</si>
  <si>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</si>
  <si>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</si>
  <si>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</si>
  <si>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</si>
  <si>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</si>
  <si>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</si>
  <si>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</si>
  <si>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</si>
  <si>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</si>
  <si>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</si>
  <si>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</si>
  <si>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</si>
  <si>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</si>
  <si>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</si>
  <si>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</si>
  <si>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</si>
  <si>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</si>
  <si>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</si>
  <si>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</si>
  <si>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</si>
  <si>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</si>
  <si>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</si>
  <si>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</si>
  <si>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</si>
  <si>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</si>
  <si>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</si>
  <si>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</si>
  <si>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</si>
  <si>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</si>
  <si>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</si>
  <si>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</si>
  <si>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</si>
  <si>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</si>
  <si>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</si>
  <si>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</si>
  <si>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</si>
  <si>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</si>
  <si>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Korea</t>
  </si>
  <si>
    <t>Indonesia</t>
  </si>
  <si>
    <t>Date</t>
  </si>
  <si>
    <t>Philippines</t>
  </si>
  <si>
    <t>Thailand</t>
  </si>
  <si>
    <t>The aggregated CPI plot shows that consumer price levels rise steadily across all four countries between 2015 and 2025. Indonesia consistently records the highest CPI level throughout the sample, followed by the Philippines, while Thailand and Korea maintain lower and more stable price levels. Despite these differences in relative level, all four countries display a similar upward trajectory, reflecting broad regional inflationary pressure. The temporary dip visible in Thailand’s CPI around 2020 aligns with the COVID-19 shock, after which all countries resume a gradually rising path. Overall, the CPI series indicate persistent and synchronized inflation trends, which supports the relevance of a comparative analysis of inflation dynamics across these economies.</t>
  </si>
  <si>
    <t xml:space="preserve"> </t>
  </si>
  <si>
    <t>Min</t>
  </si>
  <si>
    <t>Max</t>
  </si>
  <si>
    <t>Std dev</t>
  </si>
  <si>
    <t>CV</t>
  </si>
  <si>
    <t>Mean</t>
  </si>
  <si>
    <t>Seasonality test</t>
  </si>
  <si>
    <t>Lag 12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</si>
</sst>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0" fontId="0" fillId="2" borderId="1" xfId="0" applyFill="1" applyBorder="1"/>
    <xf numFmtId="164" fontId="0" fillId="2" borderId="2" xfId="0" applyNumberFormat="1" applyFill="1" applyBorder="1"/>
    <xf numFmtId="0" fontId="0" fillId="0" borderId="1" xfId="0" applyBorder="1"/>
    <xf numFmtId="49" fontId="0" fillId="0" borderId="2" xfId="0" applyNumberFormat="1" applyBorder="1"/>
    <xf numFmtId="49" fontId="0" fillId="2" borderId="2"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CPI</a:t>
            </a:r>
            <a:r>
              <a:rPr lang="nl-BE" baseline="0"/>
              <a:t> levels for all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CPI!$A$1</c:f>
              <c:strCache>
                <c:ptCount val="1"/>
                <c:pt idx="0">
                  <c:v>Thailand</c:v>
                </c:pt>
              </c:strCache>
            </c:strRef>
          </c:tx>
          <c:spPr>
            <a:ln w="28575" cap="rnd">
              <a:solidFill>
                <a:schemeClr val="accent1"/>
              </a:solidFill>
              <a:round/>
            </a:ln>
            <a:effectLst/>
          </c:spPr>
          <c:marker>
            <c:symbol val="none"/>
          </c:marker>
          <c:cat>
            <c:strRef>
              <c:f>CPI!$E$2:$E$130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CPI!$A$2:$A$124</c:f>
              <c:numCache>
                <c:formatCode>General</c:formatCode>
                <c:ptCount val="123"/>
                <c:pt idx="0">
                  <c:v>110.05441129402</c:v>
                </c:pt>
                <c:pt idx="1">
                  <c:v>110.1893582235448</c:v>
                </c:pt>
                <c:pt idx="2">
                  <c:v>110.3762078182715</c:v>
                </c:pt>
                <c:pt idx="3">
                  <c:v>110.39696888435221</c:v>
                </c:pt>
                <c:pt idx="4">
                  <c:v>110.5838184790789</c:v>
                </c:pt>
                <c:pt idx="5">
                  <c:v>110.69800434252301</c:v>
                </c:pt>
                <c:pt idx="6">
                  <c:v>110.6253406112404</c:v>
                </c:pt>
                <c:pt idx="7">
                  <c:v>110.3762078182715</c:v>
                </c:pt>
                <c:pt idx="8">
                  <c:v>110.3243051530696</c:v>
                </c:pt>
                <c:pt idx="9">
                  <c:v>110.5422963469174</c:v>
                </c:pt>
                <c:pt idx="10">
                  <c:v>110.1893582235448</c:v>
                </c:pt>
                <c:pt idx="11">
                  <c:v>109.7637563688896</c:v>
                </c:pt>
                <c:pt idx="12">
                  <c:v>109.47310144375921</c:v>
                </c:pt>
                <c:pt idx="13">
                  <c:v>109.63918997240511</c:v>
                </c:pt>
                <c:pt idx="14">
                  <c:v>109.8675616992933</c:v>
                </c:pt>
                <c:pt idx="15">
                  <c:v>110.46963261563479</c:v>
                </c:pt>
                <c:pt idx="16">
                  <c:v>111.09246459805711</c:v>
                </c:pt>
                <c:pt idx="17">
                  <c:v>111.1236061971782</c:v>
                </c:pt>
                <c:pt idx="18">
                  <c:v>110.7395264746845</c:v>
                </c:pt>
                <c:pt idx="19">
                  <c:v>110.69800434252301</c:v>
                </c:pt>
                <c:pt idx="20">
                  <c:v>110.7395264746845</c:v>
                </c:pt>
                <c:pt idx="21">
                  <c:v>110.9159955363708</c:v>
                </c:pt>
                <c:pt idx="22">
                  <c:v>110.8537123381286</c:v>
                </c:pt>
                <c:pt idx="23">
                  <c:v>110.99903980069379</c:v>
                </c:pt>
                <c:pt idx="24">
                  <c:v>111.1718671875289</c:v>
                </c:pt>
                <c:pt idx="25">
                  <c:v>111.2160049015487</c:v>
                </c:pt>
                <c:pt idx="26">
                  <c:v>110.70842119032029</c:v>
                </c:pt>
                <c:pt idx="27">
                  <c:v>110.8849720463997</c:v>
                </c:pt>
                <c:pt idx="28">
                  <c:v>111.0504884739742</c:v>
                </c:pt>
                <c:pt idx="29">
                  <c:v>111.0725573309842</c:v>
                </c:pt>
                <c:pt idx="30">
                  <c:v>110.92910976041961</c:v>
                </c:pt>
                <c:pt idx="31">
                  <c:v>111.0504884739742</c:v>
                </c:pt>
                <c:pt idx="32">
                  <c:v>111.69048532726219</c:v>
                </c:pt>
                <c:pt idx="33">
                  <c:v>111.8670361833417</c:v>
                </c:pt>
                <c:pt idx="34">
                  <c:v>111.94427718287641</c:v>
                </c:pt>
                <c:pt idx="35">
                  <c:v>111.8560017548367</c:v>
                </c:pt>
                <c:pt idx="36">
                  <c:v>111.93324275437151</c:v>
                </c:pt>
                <c:pt idx="37">
                  <c:v>111.6794508987573</c:v>
                </c:pt>
                <c:pt idx="38">
                  <c:v>111.5801410422126</c:v>
                </c:pt>
                <c:pt idx="39">
                  <c:v>112.076690324936</c:v>
                </c:pt>
                <c:pt idx="40">
                  <c:v>112.70565274971911</c:v>
                </c:pt>
                <c:pt idx="41">
                  <c:v>112.6063428931744</c:v>
                </c:pt>
                <c:pt idx="42">
                  <c:v>112.5465583595345</c:v>
                </c:pt>
                <c:pt idx="43">
                  <c:v>112.8491003202836</c:v>
                </c:pt>
                <c:pt idx="44">
                  <c:v>113.1801331754326</c:v>
                </c:pt>
                <c:pt idx="45">
                  <c:v>113.2463397464624</c:v>
                </c:pt>
                <c:pt idx="46">
                  <c:v>112.9925478908482</c:v>
                </c:pt>
                <c:pt idx="47">
                  <c:v>112.2532411810155</c:v>
                </c:pt>
                <c:pt idx="48">
                  <c:v>112.2311723240056</c:v>
                </c:pt>
                <c:pt idx="49">
                  <c:v>112.49599860812469</c:v>
                </c:pt>
                <c:pt idx="50">
                  <c:v>112.9594446053333</c:v>
                </c:pt>
                <c:pt idx="51">
                  <c:v>113.4559938880567</c:v>
                </c:pt>
                <c:pt idx="52">
                  <c:v>113.9966808848001</c:v>
                </c:pt>
                <c:pt idx="53">
                  <c:v>113.5884070301163</c:v>
                </c:pt>
                <c:pt idx="54">
                  <c:v>113.6546136011461</c:v>
                </c:pt>
                <c:pt idx="55">
                  <c:v>113.4339250310468</c:v>
                </c:pt>
                <c:pt idx="56">
                  <c:v>113.5442693160965</c:v>
                </c:pt>
                <c:pt idx="57">
                  <c:v>113.367718460017</c:v>
                </c:pt>
                <c:pt idx="58">
                  <c:v>113.2242708894525</c:v>
                </c:pt>
                <c:pt idx="59">
                  <c:v>113.2353053179574</c:v>
                </c:pt>
                <c:pt idx="60">
                  <c:v>113.4118561740369</c:v>
                </c:pt>
                <c:pt idx="61">
                  <c:v>113.32358074599721</c:v>
                </c:pt>
                <c:pt idx="62">
                  <c:v>112.3525510375602</c:v>
                </c:pt>
                <c:pt idx="63">
                  <c:v>110.0684243370323</c:v>
                </c:pt>
                <c:pt idx="64">
                  <c:v>110.0794587655373</c:v>
                </c:pt>
                <c:pt idx="65">
                  <c:v>111.8008296123119</c:v>
                </c:pt>
                <c:pt idx="66">
                  <c:v>112.5401363221446</c:v>
                </c:pt>
                <c:pt idx="67">
                  <c:v>112.87116917729359</c:v>
                </c:pt>
                <c:pt idx="68">
                  <c:v>112.7497904637389</c:v>
                </c:pt>
                <c:pt idx="69">
                  <c:v>112.8049626062638</c:v>
                </c:pt>
                <c:pt idx="70">
                  <c:v>112.7608248922439</c:v>
                </c:pt>
                <c:pt idx="71">
                  <c:v>112.92634131981841</c:v>
                </c:pt>
                <c:pt idx="72">
                  <c:v>113.030475866006</c:v>
                </c:pt>
                <c:pt idx="73">
                  <c:v>111.9997339776598</c:v>
                </c:pt>
                <c:pt idx="74">
                  <c:v>112.2602511582308</c:v>
                </c:pt>
                <c:pt idx="75">
                  <c:v>113.812027407719</c:v>
                </c:pt>
                <c:pt idx="76">
                  <c:v>112.7586318514971</c:v>
                </c:pt>
                <c:pt idx="77">
                  <c:v>113.18905154113619</c:v>
                </c:pt>
                <c:pt idx="78">
                  <c:v>113.0531295338817</c:v>
                </c:pt>
                <c:pt idx="79">
                  <c:v>112.8492465230001</c:v>
                </c:pt>
                <c:pt idx="80">
                  <c:v>114.6388862851836</c:v>
                </c:pt>
                <c:pt idx="81">
                  <c:v>115.48839883052381</c:v>
                </c:pt>
                <c:pt idx="82">
                  <c:v>115.8168770147221</c:v>
                </c:pt>
                <c:pt idx="83">
                  <c:v>115.3751304911451</c:v>
                </c:pt>
                <c:pt idx="84">
                  <c:v>108.1146299369704</c:v>
                </c:pt>
                <c:pt idx="85">
                  <c:v>109.3152743343846</c:v>
                </c:pt>
                <c:pt idx="86">
                  <c:v>110.062845374284</c:v>
                </c:pt>
                <c:pt idx="87">
                  <c:v>110.4479577281716</c:v>
                </c:pt>
                <c:pt idx="88">
                  <c:v>112.0337144794734</c:v>
                </c:pt>
                <c:pt idx="89">
                  <c:v>113.0531295338817</c:v>
                </c:pt>
                <c:pt idx="90">
                  <c:v>112.87190019087581</c:v>
                </c:pt>
                <c:pt idx="91">
                  <c:v>112.92853436056519</c:v>
                </c:pt>
                <c:pt idx="92">
                  <c:v>113.17772470719829</c:v>
                </c:pt>
                <c:pt idx="93">
                  <c:v>113.551510227148</c:v>
                </c:pt>
                <c:pt idx="94">
                  <c:v>113.40426138595571</c:v>
                </c:pt>
                <c:pt idx="95">
                  <c:v>113.3363003823285</c:v>
                </c:pt>
                <c:pt idx="96">
                  <c:v>113.67610540046461</c:v>
                </c:pt>
                <c:pt idx="97">
                  <c:v>122.3864406986867</c:v>
                </c:pt>
                <c:pt idx="98">
                  <c:v>122.05796251448849</c:v>
                </c:pt>
                <c:pt idx="99">
                  <c:v>122.28449919324591</c:v>
                </c:pt>
                <c:pt idx="100">
                  <c:v>121.4123329800299</c:v>
                </c:pt>
                <c:pt idx="101">
                  <c:v>122.1372503520536</c:v>
                </c:pt>
                <c:pt idx="102">
                  <c:v>122.1259235181157</c:v>
                </c:pt>
                <c:pt idx="103">
                  <c:v>122.79420672045011</c:v>
                </c:pt>
                <c:pt idx="104">
                  <c:v>122.3524601968731</c:v>
                </c:pt>
                <c:pt idx="105">
                  <c:v>122.01265517873701</c:v>
                </c:pt>
                <c:pt idx="106">
                  <c:v>121.7068306624145</c:v>
                </c:pt>
                <c:pt idx="107">
                  <c:v>121.1518157994589</c:v>
                </c:pt>
                <c:pt idx="108">
                  <c:v>121.1744694673346</c:v>
                </c:pt>
                <c:pt idx="109">
                  <c:v>121.4463134818435</c:v>
                </c:pt>
                <c:pt idx="110">
                  <c:v>121.48029398365711</c:v>
                </c:pt>
                <c:pt idx="111">
                  <c:v>123.85892911060991</c:v>
                </c:pt>
                <c:pt idx="112">
                  <c:v>124.87834416501811</c:v>
                </c:pt>
                <c:pt idx="113">
                  <c:v>124.3346561360004</c:v>
                </c:pt>
                <c:pt idx="114">
                  <c:v>124.60650015050931</c:v>
                </c:pt>
                <c:pt idx="115">
                  <c:v>124.7764026595773</c:v>
                </c:pt>
                <c:pt idx="116">
                  <c:v>123.10003123677249</c:v>
                </c:pt>
                <c:pt idx="117">
                  <c:v>122.28797243036099</c:v>
                </c:pt>
                <c:pt idx="118">
                  <c:v>122.13022846909929</c:v>
                </c:pt>
                <c:pt idx="119">
                  <c:v>121.91181375350629</c:v>
                </c:pt>
                <c:pt idx="120">
                  <c:v>122.0331552621691</c:v>
                </c:pt>
                <c:pt idx="121">
                  <c:v>122.0088869604366</c:v>
                </c:pt>
                <c:pt idx="122">
                  <c:v>121.76620394311099</c:v>
                </c:pt>
              </c:numCache>
            </c:numRef>
          </c:val>
          <c:smooth val="0"/>
          <c:extLst>
            <c:ext xmlns:c16="http://schemas.microsoft.com/office/drawing/2014/chart" uri="{C3380CC4-5D6E-409C-BE32-E72D297353CC}">
              <c16:uniqueId val="{00000000-B2D6-4CC5-8C8B-DD3AD5AD7DB6}"/>
            </c:ext>
          </c:extLst>
        </c:ser>
        <c:ser>
          <c:idx val="1"/>
          <c:order val="1"/>
          <c:tx>
            <c:strRef>
              <c:f>CPI!$B$1</c:f>
              <c:strCache>
                <c:ptCount val="1"/>
                <c:pt idx="0">
                  <c:v>Philippines</c:v>
                </c:pt>
              </c:strCache>
            </c:strRef>
          </c:tx>
          <c:spPr>
            <a:ln w="28575" cap="rnd">
              <a:solidFill>
                <a:schemeClr val="accent2"/>
              </a:solidFill>
              <a:round/>
            </a:ln>
            <a:effectLst/>
          </c:spPr>
          <c:marker>
            <c:symbol val="none"/>
          </c:marker>
          <c:cat>
            <c:strRef>
              <c:f>CPI!$E$2:$E$130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CPI!$B$2:$B$124</c:f>
              <c:numCache>
                <c:formatCode>General</c:formatCode>
                <c:ptCount val="123"/>
                <c:pt idx="0">
                  <c:v>115.19580477873291</c:v>
                </c:pt>
                <c:pt idx="1">
                  <c:v>115.30366601916241</c:v>
                </c:pt>
                <c:pt idx="2">
                  <c:v>115.19580477873291</c:v>
                </c:pt>
                <c:pt idx="3">
                  <c:v>115.41152725959201</c:v>
                </c:pt>
                <c:pt idx="4">
                  <c:v>115.30366601916241</c:v>
                </c:pt>
                <c:pt idx="5">
                  <c:v>115.30366601916241</c:v>
                </c:pt>
                <c:pt idx="6">
                  <c:v>115.51938850002151</c:v>
                </c:pt>
                <c:pt idx="7">
                  <c:v>115.51938850002151</c:v>
                </c:pt>
                <c:pt idx="8">
                  <c:v>115.30366601916241</c:v>
                </c:pt>
                <c:pt idx="9">
                  <c:v>115.41152725959201</c:v>
                </c:pt>
                <c:pt idx="10">
                  <c:v>115.73511098088051</c:v>
                </c:pt>
                <c:pt idx="11">
                  <c:v>115.95083346173961</c:v>
                </c:pt>
                <c:pt idx="12">
                  <c:v>116.05869470216911</c:v>
                </c:pt>
                <c:pt idx="13">
                  <c:v>115.84297222131011</c:v>
                </c:pt>
                <c:pt idx="14">
                  <c:v>115.84297222131011</c:v>
                </c:pt>
                <c:pt idx="15">
                  <c:v>116.16655594259861</c:v>
                </c:pt>
                <c:pt idx="16">
                  <c:v>116.38227842345771</c:v>
                </c:pt>
                <c:pt idx="17">
                  <c:v>116.81372338517581</c:v>
                </c:pt>
                <c:pt idx="18">
                  <c:v>117.02944586603481</c:v>
                </c:pt>
                <c:pt idx="19">
                  <c:v>117.02944586603481</c:v>
                </c:pt>
                <c:pt idx="20">
                  <c:v>117.24516834689391</c:v>
                </c:pt>
                <c:pt idx="21">
                  <c:v>117.46089082775291</c:v>
                </c:pt>
                <c:pt idx="22">
                  <c:v>118.1080582703301</c:v>
                </c:pt>
                <c:pt idx="23">
                  <c:v>118.5395032320482</c:v>
                </c:pt>
                <c:pt idx="24">
                  <c:v>118.9709481937663</c:v>
                </c:pt>
                <c:pt idx="25">
                  <c:v>119.4023931554844</c:v>
                </c:pt>
                <c:pt idx="26">
                  <c:v>119.4023931554844</c:v>
                </c:pt>
                <c:pt idx="27">
                  <c:v>119.8338381172025</c:v>
                </c:pt>
                <c:pt idx="28">
                  <c:v>119.725976876773</c:v>
                </c:pt>
                <c:pt idx="29">
                  <c:v>119.725976876773</c:v>
                </c:pt>
                <c:pt idx="30">
                  <c:v>119.8338381172025</c:v>
                </c:pt>
                <c:pt idx="31">
                  <c:v>120.0495605980616</c:v>
                </c:pt>
                <c:pt idx="32">
                  <c:v>120.8045892810682</c:v>
                </c:pt>
                <c:pt idx="33">
                  <c:v>121.1281730023568</c:v>
                </c:pt>
                <c:pt idx="34">
                  <c:v>121.6674792045044</c:v>
                </c:pt>
                <c:pt idx="35">
                  <c:v>121.991062925793</c:v>
                </c:pt>
                <c:pt idx="36">
                  <c:v>123.0696753300882</c:v>
                </c:pt>
                <c:pt idx="37">
                  <c:v>123.95597957629261</c:v>
                </c:pt>
                <c:pt idx="38">
                  <c:v>124.5890540378671</c:v>
                </c:pt>
                <c:pt idx="39">
                  <c:v>125.0955136071267</c:v>
                </c:pt>
                <c:pt idx="40">
                  <c:v>125.3487433917565</c:v>
                </c:pt>
                <c:pt idx="41">
                  <c:v>125.8552029610162</c:v>
                </c:pt>
                <c:pt idx="42">
                  <c:v>126.8681220995354</c:v>
                </c:pt>
                <c:pt idx="43">
                  <c:v>128.00765613036961</c:v>
                </c:pt>
                <c:pt idx="44">
                  <c:v>129.2738050535186</c:v>
                </c:pt>
                <c:pt idx="45">
                  <c:v>129.52703483814841</c:v>
                </c:pt>
                <c:pt idx="46">
                  <c:v>129.1471901612037</c:v>
                </c:pt>
                <c:pt idx="47">
                  <c:v>128.3875008073143</c:v>
                </c:pt>
                <c:pt idx="48">
                  <c:v>128.5141156996292</c:v>
                </c:pt>
                <c:pt idx="49">
                  <c:v>128.64073059194411</c:v>
                </c:pt>
                <c:pt idx="50">
                  <c:v>128.76734548425901</c:v>
                </c:pt>
                <c:pt idx="51">
                  <c:v>129.1471901612037</c:v>
                </c:pt>
                <c:pt idx="52">
                  <c:v>129.40041994583351</c:v>
                </c:pt>
                <c:pt idx="53">
                  <c:v>129.2738050535186</c:v>
                </c:pt>
                <c:pt idx="54">
                  <c:v>129.65364973046329</c:v>
                </c:pt>
                <c:pt idx="55">
                  <c:v>129.78026462277819</c:v>
                </c:pt>
                <c:pt idx="56">
                  <c:v>129.9068795150931</c:v>
                </c:pt>
                <c:pt idx="57">
                  <c:v>130.28672419203789</c:v>
                </c:pt>
                <c:pt idx="58">
                  <c:v>130.66656886898261</c:v>
                </c:pt>
                <c:pt idx="59">
                  <c:v>131.42625822287201</c:v>
                </c:pt>
                <c:pt idx="60">
                  <c:v>132.3125624690764</c:v>
                </c:pt>
                <c:pt idx="61">
                  <c:v>131.80610289981669</c:v>
                </c:pt>
                <c:pt idx="62">
                  <c:v>131.55287311518691</c:v>
                </c:pt>
                <c:pt idx="63">
                  <c:v>131.42625822287201</c:v>
                </c:pt>
                <c:pt idx="64">
                  <c:v>131.42625822287201</c:v>
                </c:pt>
                <c:pt idx="65">
                  <c:v>132.18594757676141</c:v>
                </c:pt>
                <c:pt idx="66">
                  <c:v>132.81902203833599</c:v>
                </c:pt>
                <c:pt idx="67">
                  <c:v>132.69240714602111</c:v>
                </c:pt>
                <c:pt idx="68">
                  <c:v>132.81902203833599</c:v>
                </c:pt>
                <c:pt idx="69">
                  <c:v>133.32548160759561</c:v>
                </c:pt>
                <c:pt idx="70">
                  <c:v>134.59163053074471</c:v>
                </c:pt>
                <c:pt idx="71">
                  <c:v>135.73116456157879</c:v>
                </c:pt>
                <c:pt idx="72">
                  <c:v>137.25054326935771</c:v>
                </c:pt>
                <c:pt idx="73">
                  <c:v>137.37715816167261</c:v>
                </c:pt>
                <c:pt idx="74">
                  <c:v>136.9973134847279</c:v>
                </c:pt>
                <c:pt idx="75">
                  <c:v>136.87069859241299</c:v>
                </c:pt>
                <c:pt idx="76">
                  <c:v>136.87069859241299</c:v>
                </c:pt>
                <c:pt idx="77">
                  <c:v>137.1239283770428</c:v>
                </c:pt>
                <c:pt idx="78">
                  <c:v>137.7570028386173</c:v>
                </c:pt>
                <c:pt idx="79">
                  <c:v>138.5166921925067</c:v>
                </c:pt>
                <c:pt idx="80">
                  <c:v>138.39007730019179</c:v>
                </c:pt>
                <c:pt idx="81">
                  <c:v>138.6433070848216</c:v>
                </c:pt>
                <c:pt idx="82">
                  <c:v>139.52961133102599</c:v>
                </c:pt>
                <c:pt idx="83">
                  <c:v>139.9094560079707</c:v>
                </c:pt>
                <c:pt idx="84">
                  <c:v>141.42883471574959</c:v>
                </c:pt>
                <c:pt idx="85">
                  <c:v>141.55544960806449</c:v>
                </c:pt>
                <c:pt idx="86">
                  <c:v>142.4417538542688</c:v>
                </c:pt>
                <c:pt idx="87">
                  <c:v>143.581287885103</c:v>
                </c:pt>
                <c:pt idx="88">
                  <c:v>144.21436234667749</c:v>
                </c:pt>
                <c:pt idx="89">
                  <c:v>145.48051126982651</c:v>
                </c:pt>
                <c:pt idx="90">
                  <c:v>146.62004530066071</c:v>
                </c:pt>
                <c:pt idx="91">
                  <c:v>147.2531197622352</c:v>
                </c:pt>
                <c:pt idx="92">
                  <c:v>147.8861942238097</c:v>
                </c:pt>
                <c:pt idx="93">
                  <c:v>149.2789580392737</c:v>
                </c:pt>
                <c:pt idx="94">
                  <c:v>150.67172185473771</c:v>
                </c:pt>
                <c:pt idx="95">
                  <c:v>151.1781814239973</c:v>
                </c:pt>
                <c:pt idx="96">
                  <c:v>153.71047927029539</c:v>
                </c:pt>
                <c:pt idx="97">
                  <c:v>153.71047927029539</c:v>
                </c:pt>
                <c:pt idx="98">
                  <c:v>153.33063459335071</c:v>
                </c:pt>
                <c:pt idx="99">
                  <c:v>153.0774048087209</c:v>
                </c:pt>
                <c:pt idx="100">
                  <c:v>153.0774048087209</c:v>
                </c:pt>
                <c:pt idx="101">
                  <c:v>153.33063459335071</c:v>
                </c:pt>
                <c:pt idx="102">
                  <c:v>153.45724948566561</c:v>
                </c:pt>
                <c:pt idx="103">
                  <c:v>155.1032430857594</c:v>
                </c:pt>
                <c:pt idx="104">
                  <c:v>156.87585157816801</c:v>
                </c:pt>
                <c:pt idx="105">
                  <c:v>156.6226217935382</c:v>
                </c:pt>
                <c:pt idx="106">
                  <c:v>156.87585157816801</c:v>
                </c:pt>
                <c:pt idx="107">
                  <c:v>157.12908136279779</c:v>
                </c:pt>
                <c:pt idx="108">
                  <c:v>158.01538560900221</c:v>
                </c:pt>
                <c:pt idx="109">
                  <c:v>158.90168985520651</c:v>
                </c:pt>
                <c:pt idx="110">
                  <c:v>159.02830474752139</c:v>
                </c:pt>
                <c:pt idx="111">
                  <c:v>158.90168985520651</c:v>
                </c:pt>
                <c:pt idx="112">
                  <c:v>159.02830474752139</c:v>
                </c:pt>
                <c:pt idx="113">
                  <c:v>159.02830474752139</c:v>
                </c:pt>
                <c:pt idx="114">
                  <c:v>160.16783877835559</c:v>
                </c:pt>
                <c:pt idx="115">
                  <c:v>160.29445367067049</c:v>
                </c:pt>
                <c:pt idx="116">
                  <c:v>159.91460899372581</c:v>
                </c:pt>
                <c:pt idx="117">
                  <c:v>160.16783877835559</c:v>
                </c:pt>
                <c:pt idx="118">
                  <c:v>160.80091323993011</c:v>
                </c:pt>
                <c:pt idx="119">
                  <c:v>161.6872174861345</c:v>
                </c:pt>
                <c:pt idx="120">
                  <c:v>162.5735217323388</c:v>
                </c:pt>
                <c:pt idx="121">
                  <c:v>162.19367705539409</c:v>
                </c:pt>
                <c:pt idx="122">
                  <c:v>161.8138323784494</c:v>
                </c:pt>
              </c:numCache>
            </c:numRef>
          </c:val>
          <c:smooth val="0"/>
          <c:extLst>
            <c:ext xmlns:c16="http://schemas.microsoft.com/office/drawing/2014/chart" uri="{C3380CC4-5D6E-409C-BE32-E72D297353CC}">
              <c16:uniqueId val="{00000001-B2D6-4CC5-8C8B-DD3AD5AD7DB6}"/>
            </c:ext>
          </c:extLst>
        </c:ser>
        <c:ser>
          <c:idx val="2"/>
          <c:order val="2"/>
          <c:tx>
            <c:strRef>
              <c:f>CPI!$C$1</c:f>
              <c:strCache>
                <c:ptCount val="1"/>
                <c:pt idx="0">
                  <c:v>Korea</c:v>
                </c:pt>
              </c:strCache>
            </c:strRef>
          </c:tx>
          <c:spPr>
            <a:ln w="28575" cap="rnd">
              <a:solidFill>
                <a:schemeClr val="accent3"/>
              </a:solidFill>
              <a:round/>
            </a:ln>
            <a:effectLst/>
          </c:spPr>
          <c:marker>
            <c:symbol val="none"/>
          </c:marker>
          <c:cat>
            <c:strRef>
              <c:f>CPI!$E$2:$E$130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CPI!$C$2:$C$124</c:f>
              <c:numCache>
                <c:formatCode>General</c:formatCode>
                <c:ptCount val="123"/>
                <c:pt idx="0">
                  <c:v>109.57517424493859</c:v>
                </c:pt>
                <c:pt idx="1">
                  <c:v>109.51033891894809</c:v>
                </c:pt>
                <c:pt idx="2">
                  <c:v>109.5207588820537</c:v>
                </c:pt>
                <c:pt idx="3">
                  <c:v>109.5543343187274</c:v>
                </c:pt>
                <c:pt idx="4">
                  <c:v>109.8611443435037</c:v>
                </c:pt>
                <c:pt idx="5">
                  <c:v>109.88314204339331</c:v>
                </c:pt>
                <c:pt idx="6">
                  <c:v>110.0811213424</c:v>
                </c:pt>
                <c:pt idx="7">
                  <c:v>110.23510524162739</c:v>
                </c:pt>
                <c:pt idx="8">
                  <c:v>109.94913514306219</c:v>
                </c:pt>
                <c:pt idx="9">
                  <c:v>109.94913514306219</c:v>
                </c:pt>
                <c:pt idx="10">
                  <c:v>109.74073588095</c:v>
                </c:pt>
                <c:pt idx="11">
                  <c:v>110.069543605616</c:v>
                </c:pt>
                <c:pt idx="12">
                  <c:v>110.257102941517</c:v>
                </c:pt>
                <c:pt idx="13">
                  <c:v>110.72947460230471</c:v>
                </c:pt>
                <c:pt idx="14">
                  <c:v>110.4435045037396</c:v>
                </c:pt>
                <c:pt idx="15">
                  <c:v>110.6519037658518</c:v>
                </c:pt>
                <c:pt idx="16">
                  <c:v>110.7178968655207</c:v>
                </c:pt>
                <c:pt idx="17">
                  <c:v>110.6958991656311</c:v>
                </c:pt>
                <c:pt idx="18">
                  <c:v>110.48749990351889</c:v>
                </c:pt>
                <c:pt idx="19">
                  <c:v>110.7723122284056</c:v>
                </c:pt>
                <c:pt idx="20">
                  <c:v>111.4322432250943</c:v>
                </c:pt>
                <c:pt idx="21">
                  <c:v>111.58506935064329</c:v>
                </c:pt>
                <c:pt idx="22">
                  <c:v>111.42066548831031</c:v>
                </c:pt>
                <c:pt idx="23">
                  <c:v>111.5422317245425</c:v>
                </c:pt>
                <c:pt idx="24">
                  <c:v>112.7277919712255</c:v>
                </c:pt>
                <c:pt idx="25">
                  <c:v>113.0357597696802</c:v>
                </c:pt>
                <c:pt idx="26">
                  <c:v>112.95818893322731</c:v>
                </c:pt>
                <c:pt idx="27">
                  <c:v>112.815782770784</c:v>
                </c:pt>
                <c:pt idx="28">
                  <c:v>112.93619123333769</c:v>
                </c:pt>
                <c:pt idx="29">
                  <c:v>112.6953743082302</c:v>
                </c:pt>
                <c:pt idx="30">
                  <c:v>112.8817758704528</c:v>
                </c:pt>
                <c:pt idx="31">
                  <c:v>113.52897135667919</c:v>
                </c:pt>
                <c:pt idx="32">
                  <c:v>113.6609575560169</c:v>
                </c:pt>
                <c:pt idx="33">
                  <c:v>113.5509690565688</c:v>
                </c:pt>
                <c:pt idx="34">
                  <c:v>112.7057942713358</c:v>
                </c:pt>
                <c:pt idx="35">
                  <c:v>113.1121728324547</c:v>
                </c:pt>
                <c:pt idx="36">
                  <c:v>113.5845444932425</c:v>
                </c:pt>
                <c:pt idx="37">
                  <c:v>114.4517169783651</c:v>
                </c:pt>
                <c:pt idx="38">
                  <c:v>114.3313085158113</c:v>
                </c:pt>
                <c:pt idx="39">
                  <c:v>114.5397077779236</c:v>
                </c:pt>
                <c:pt idx="40">
                  <c:v>114.59528091448681</c:v>
                </c:pt>
                <c:pt idx="41">
                  <c:v>114.3637261788066</c:v>
                </c:pt>
                <c:pt idx="42">
                  <c:v>114.1449069535887</c:v>
                </c:pt>
                <c:pt idx="43">
                  <c:v>115.1544856011547</c:v>
                </c:pt>
                <c:pt idx="44">
                  <c:v>116.0332358230613</c:v>
                </c:pt>
                <c:pt idx="45">
                  <c:v>115.82483656094909</c:v>
                </c:pt>
                <c:pt idx="46">
                  <c:v>115.00165947560571</c:v>
                </c:pt>
                <c:pt idx="47">
                  <c:v>114.6057008775924</c:v>
                </c:pt>
                <c:pt idx="48">
                  <c:v>114.4852924150387</c:v>
                </c:pt>
                <c:pt idx="49">
                  <c:v>114.9796617757161</c:v>
                </c:pt>
                <c:pt idx="50">
                  <c:v>114.7596847768198</c:v>
                </c:pt>
                <c:pt idx="51">
                  <c:v>115.1764833010443</c:v>
                </c:pt>
                <c:pt idx="52">
                  <c:v>115.3744626000509</c:v>
                </c:pt>
                <c:pt idx="53">
                  <c:v>115.18806103782831</c:v>
                </c:pt>
                <c:pt idx="54">
                  <c:v>114.8360978395943</c:v>
                </c:pt>
                <c:pt idx="55">
                  <c:v>115.1116479750538</c:v>
                </c:pt>
                <c:pt idx="56">
                  <c:v>115.53886646238389</c:v>
                </c:pt>
                <c:pt idx="57">
                  <c:v>115.82483656094909</c:v>
                </c:pt>
                <c:pt idx="58">
                  <c:v>115.1764833010443</c:v>
                </c:pt>
                <c:pt idx="59">
                  <c:v>115.4520334365038</c:v>
                </c:pt>
                <c:pt idx="60">
                  <c:v>115.88156747119071</c:v>
                </c:pt>
                <c:pt idx="61">
                  <c:v>115.9626116286788</c:v>
                </c:pt>
                <c:pt idx="62">
                  <c:v>115.7079014194305</c:v>
                </c:pt>
                <c:pt idx="63">
                  <c:v>115.1984810009339</c:v>
                </c:pt>
                <c:pt idx="64">
                  <c:v>115.12901458022981</c:v>
                </c:pt>
                <c:pt idx="65">
                  <c:v>115.44161347339821</c:v>
                </c:pt>
                <c:pt idx="66">
                  <c:v>115.34899157912611</c:v>
                </c:pt>
                <c:pt idx="67">
                  <c:v>115.9973448390309</c:v>
                </c:pt>
                <c:pt idx="68">
                  <c:v>116.63412036215161</c:v>
                </c:pt>
                <c:pt idx="69">
                  <c:v>115.9857671022468</c:v>
                </c:pt>
                <c:pt idx="70">
                  <c:v>115.88156747119071</c:v>
                </c:pt>
                <c:pt idx="71">
                  <c:v>116.159433154007</c:v>
                </c:pt>
                <c:pt idx="72">
                  <c:v>116.98145246567201</c:v>
                </c:pt>
                <c:pt idx="73">
                  <c:v>117.60665025200871</c:v>
                </c:pt>
                <c:pt idx="74">
                  <c:v>117.9076714083931</c:v>
                </c:pt>
                <c:pt idx="75">
                  <c:v>118.0697597233693</c:v>
                </c:pt>
                <c:pt idx="76">
                  <c:v>118.1508038808574</c:v>
                </c:pt>
                <c:pt idx="77">
                  <c:v>118.1508038808574</c:v>
                </c:pt>
                <c:pt idx="78">
                  <c:v>118.39393635332161</c:v>
                </c:pt>
                <c:pt idx="79">
                  <c:v>118.96124545573829</c:v>
                </c:pt>
                <c:pt idx="80">
                  <c:v>119.4475104006669</c:v>
                </c:pt>
                <c:pt idx="81">
                  <c:v>119.6559096627791</c:v>
                </c:pt>
                <c:pt idx="82">
                  <c:v>120.2579519755478</c:v>
                </c:pt>
                <c:pt idx="83">
                  <c:v>120.454773500876</c:v>
                </c:pt>
                <c:pt idx="84">
                  <c:v>121.3925701803811</c:v>
                </c:pt>
                <c:pt idx="85">
                  <c:v>122.0525011770699</c:v>
                </c:pt>
                <c:pt idx="86">
                  <c:v>122.8397872783828</c:v>
                </c:pt>
                <c:pt idx="87">
                  <c:v>123.6849620636158</c:v>
                </c:pt>
                <c:pt idx="88">
                  <c:v>124.4606704281447</c:v>
                </c:pt>
                <c:pt idx="89">
                  <c:v>125.2826897398097</c:v>
                </c:pt>
                <c:pt idx="90">
                  <c:v>125.8847320525784</c:v>
                </c:pt>
                <c:pt idx="91">
                  <c:v>125.7689546847382</c:v>
                </c:pt>
                <c:pt idx="92">
                  <c:v>125.9889316836345</c:v>
                </c:pt>
                <c:pt idx="93">
                  <c:v>126.3825747342909</c:v>
                </c:pt>
                <c:pt idx="94">
                  <c:v>126.27837510323479</c:v>
                </c:pt>
                <c:pt idx="95">
                  <c:v>126.49835210213109</c:v>
                </c:pt>
                <c:pt idx="96">
                  <c:v>127.43614878163621</c:v>
                </c:pt>
                <c:pt idx="97">
                  <c:v>127.7371699380205</c:v>
                </c:pt>
                <c:pt idx="98">
                  <c:v>127.9571469369168</c:v>
                </c:pt>
                <c:pt idx="99">
                  <c:v>128.24659035651709</c:v>
                </c:pt>
                <c:pt idx="100">
                  <c:v>128.66338888074159</c:v>
                </c:pt>
                <c:pt idx="101">
                  <c:v>128.69812209109361</c:v>
                </c:pt>
                <c:pt idx="102">
                  <c:v>128.84863266928579</c:v>
                </c:pt>
                <c:pt idx="103">
                  <c:v>129.99482861090311</c:v>
                </c:pt>
                <c:pt idx="104">
                  <c:v>130.6547596075919</c:v>
                </c:pt>
                <c:pt idx="105">
                  <c:v>131.14102455252049</c:v>
                </c:pt>
                <c:pt idx="106">
                  <c:v>130.45793808226369</c:v>
                </c:pt>
                <c:pt idx="107">
                  <c:v>130.51582676618369</c:v>
                </c:pt>
                <c:pt idx="108">
                  <c:v>131.0252471846803</c:v>
                </c:pt>
                <c:pt idx="109">
                  <c:v>131.7314891285051</c:v>
                </c:pt>
                <c:pt idx="110">
                  <c:v>131.92831065383339</c:v>
                </c:pt>
                <c:pt idx="111">
                  <c:v>131.99777707453751</c:v>
                </c:pt>
                <c:pt idx="112">
                  <c:v>132.10197670559359</c:v>
                </c:pt>
                <c:pt idx="113">
                  <c:v>131.80095554920919</c:v>
                </c:pt>
                <c:pt idx="114">
                  <c:v>132.1367099159456</c:v>
                </c:pt>
                <c:pt idx="115">
                  <c:v>132.61139712409019</c:v>
                </c:pt>
                <c:pt idx="116">
                  <c:v>132.7387522287143</c:v>
                </c:pt>
                <c:pt idx="117">
                  <c:v>132.78506317585041</c:v>
                </c:pt>
                <c:pt idx="118">
                  <c:v>132.449308809114</c:v>
                </c:pt>
                <c:pt idx="119">
                  <c:v>133.0397733850987</c:v>
                </c:pt>
                <c:pt idx="120">
                  <c:v>133.96599232781969</c:v>
                </c:pt>
                <c:pt idx="121">
                  <c:v>134.3943685888282</c:v>
                </c:pt>
                <c:pt idx="122">
                  <c:v>134.63750106129251</c:v>
                </c:pt>
              </c:numCache>
            </c:numRef>
          </c:val>
          <c:smooth val="0"/>
          <c:extLst>
            <c:ext xmlns:c16="http://schemas.microsoft.com/office/drawing/2014/chart" uri="{C3380CC4-5D6E-409C-BE32-E72D297353CC}">
              <c16:uniqueId val="{00000002-B2D6-4CC5-8C8B-DD3AD5AD7DB6}"/>
            </c:ext>
          </c:extLst>
        </c:ser>
        <c:ser>
          <c:idx val="3"/>
          <c:order val="3"/>
          <c:tx>
            <c:strRef>
              <c:f>CPI!$D$1</c:f>
              <c:strCache>
                <c:ptCount val="1"/>
                <c:pt idx="0">
                  <c:v>Indonesia</c:v>
                </c:pt>
              </c:strCache>
            </c:strRef>
          </c:tx>
          <c:spPr>
            <a:ln w="28575" cap="rnd">
              <a:solidFill>
                <a:schemeClr val="accent4"/>
              </a:solidFill>
              <a:round/>
            </a:ln>
            <a:effectLst/>
          </c:spPr>
          <c:marker>
            <c:symbol val="none"/>
          </c:marker>
          <c:cat>
            <c:strRef>
              <c:f>CPI!$E$2:$E$130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CPI!$D$2:$D$124</c:f>
              <c:numCache>
                <c:formatCode>General</c:formatCode>
                <c:ptCount val="123"/>
                <c:pt idx="0">
                  <c:v>130.4204702078095</c:v>
                </c:pt>
                <c:pt idx="1">
                  <c:v>129.94804948646129</c:v>
                </c:pt>
                <c:pt idx="2">
                  <c:v>130.16778308362549</c:v>
                </c:pt>
                <c:pt idx="3">
                  <c:v>130.64020380497371</c:v>
                </c:pt>
                <c:pt idx="4">
                  <c:v>131.2884146603306</c:v>
                </c:pt>
                <c:pt idx="5">
                  <c:v>131.99154263359171</c:v>
                </c:pt>
                <c:pt idx="6">
                  <c:v>133.222024727492</c:v>
                </c:pt>
                <c:pt idx="7">
                  <c:v>133.73838891199571</c:v>
                </c:pt>
                <c:pt idx="8">
                  <c:v>133.67246557656901</c:v>
                </c:pt>
                <c:pt idx="9">
                  <c:v>133.56259877798701</c:v>
                </c:pt>
                <c:pt idx="10">
                  <c:v>133.83726577444219</c:v>
                </c:pt>
                <c:pt idx="11">
                  <c:v>135.12268126763351</c:v>
                </c:pt>
                <c:pt idx="12">
                  <c:v>135.8148355861459</c:v>
                </c:pt>
                <c:pt idx="13">
                  <c:v>135.6939788514282</c:v>
                </c:pt>
                <c:pt idx="14">
                  <c:v>135.95765591174779</c:v>
                </c:pt>
                <c:pt idx="15">
                  <c:v>135.34241486479769</c:v>
                </c:pt>
                <c:pt idx="16">
                  <c:v>135.6610253244084</c:v>
                </c:pt>
                <c:pt idx="17">
                  <c:v>136.55093336781371</c:v>
                </c:pt>
                <c:pt idx="18">
                  <c:v>137.49575852912329</c:v>
                </c:pt>
                <c:pt idx="19">
                  <c:v>137.47377865685209</c:v>
                </c:pt>
                <c:pt idx="20">
                  <c:v>137.781415461714</c:v>
                </c:pt>
                <c:pt idx="21">
                  <c:v>137.97916918660701</c:v>
                </c:pt>
                <c:pt idx="22">
                  <c:v>138.62736376057711</c:v>
                </c:pt>
                <c:pt idx="23">
                  <c:v>139.20965128050739</c:v>
                </c:pt>
                <c:pt idx="24">
                  <c:v>140.5609901091253</c:v>
                </c:pt>
                <c:pt idx="25">
                  <c:v>140.8905905048716</c:v>
                </c:pt>
                <c:pt idx="26">
                  <c:v>140.86861063260039</c:v>
                </c:pt>
                <c:pt idx="27">
                  <c:v>140.9894673673181</c:v>
                </c:pt>
                <c:pt idx="28">
                  <c:v>141.53878507884161</c:v>
                </c:pt>
                <c:pt idx="29">
                  <c:v>142.5165800485579</c:v>
                </c:pt>
                <c:pt idx="30">
                  <c:v>142.82420057203299</c:v>
                </c:pt>
                <c:pt idx="31">
                  <c:v>142.72532370958649</c:v>
                </c:pt>
                <c:pt idx="32">
                  <c:v>142.91210377973081</c:v>
                </c:pt>
                <c:pt idx="33">
                  <c:v>142.9230774344795</c:v>
                </c:pt>
                <c:pt idx="34">
                  <c:v>143.20873436707029</c:v>
                </c:pt>
                <c:pt idx="35">
                  <c:v>144.23047279994199</c:v>
                </c:pt>
                <c:pt idx="36">
                  <c:v>145.1313544980961</c:v>
                </c:pt>
                <c:pt idx="37">
                  <c:v>145.3730679675314</c:v>
                </c:pt>
                <c:pt idx="38">
                  <c:v>145.65870861873529</c:v>
                </c:pt>
                <c:pt idx="39">
                  <c:v>145.8015452257242</c:v>
                </c:pt>
                <c:pt idx="40">
                  <c:v>146.10916574919921</c:v>
                </c:pt>
                <c:pt idx="41">
                  <c:v>146.9661039841979</c:v>
                </c:pt>
                <c:pt idx="42">
                  <c:v>147.37261765150629</c:v>
                </c:pt>
                <c:pt idx="43">
                  <c:v>147.29570437994411</c:v>
                </c:pt>
                <c:pt idx="44">
                  <c:v>147.03202731962449</c:v>
                </c:pt>
                <c:pt idx="45">
                  <c:v>147.43852470554609</c:v>
                </c:pt>
                <c:pt idx="46">
                  <c:v>147.83404843671889</c:v>
                </c:pt>
                <c:pt idx="47">
                  <c:v>148.74592007100861</c:v>
                </c:pt>
                <c:pt idx="48">
                  <c:v>149.22931444710551</c:v>
                </c:pt>
                <c:pt idx="49">
                  <c:v>149.10847399377471</c:v>
                </c:pt>
                <c:pt idx="50">
                  <c:v>149.2732741916478</c:v>
                </c:pt>
                <c:pt idx="51">
                  <c:v>149.9324587017534</c:v>
                </c:pt>
                <c:pt idx="52">
                  <c:v>150.95419713462519</c:v>
                </c:pt>
                <c:pt idx="53">
                  <c:v>151.7891717787395</c:v>
                </c:pt>
                <c:pt idx="54">
                  <c:v>152.26159250008769</c:v>
                </c:pt>
                <c:pt idx="55">
                  <c:v>152.43736635270949</c:v>
                </c:pt>
                <c:pt idx="56">
                  <c:v>152.01987903065239</c:v>
                </c:pt>
                <c:pt idx="57">
                  <c:v>152.0528325576723</c:v>
                </c:pt>
                <c:pt idx="58">
                  <c:v>152.2725824362233</c:v>
                </c:pt>
                <c:pt idx="59">
                  <c:v>152.78893033934011</c:v>
                </c:pt>
                <c:pt idx="60">
                  <c:v>153.22839753366841</c:v>
                </c:pt>
                <c:pt idx="61">
                  <c:v>153.6543186141229</c:v>
                </c:pt>
                <c:pt idx="62">
                  <c:v>153.80117672366811</c:v>
                </c:pt>
                <c:pt idx="63">
                  <c:v>153.91867949269101</c:v>
                </c:pt>
                <c:pt idx="64">
                  <c:v>154.0214964507594</c:v>
                </c:pt>
                <c:pt idx="65">
                  <c:v>154.300543140282</c:v>
                </c:pt>
                <c:pt idx="66">
                  <c:v>154.13899921978239</c:v>
                </c:pt>
                <c:pt idx="67">
                  <c:v>154.06555388362301</c:v>
                </c:pt>
                <c:pt idx="68">
                  <c:v>153.99212482885039</c:v>
                </c:pt>
                <c:pt idx="69">
                  <c:v>154.09492550553199</c:v>
                </c:pt>
                <c:pt idx="70">
                  <c:v>154.5208465859865</c:v>
                </c:pt>
                <c:pt idx="71">
                  <c:v>155.2111285450091</c:v>
                </c:pt>
                <c:pt idx="72">
                  <c:v>155.6076780035547</c:v>
                </c:pt>
                <c:pt idx="73">
                  <c:v>155.76922192405431</c:v>
                </c:pt>
                <c:pt idx="74">
                  <c:v>155.9014105040317</c:v>
                </c:pt>
                <c:pt idx="75">
                  <c:v>156.1070281387818</c:v>
                </c:pt>
                <c:pt idx="76">
                  <c:v>156.6063945553957</c:v>
                </c:pt>
                <c:pt idx="77">
                  <c:v>156.35670320639531</c:v>
                </c:pt>
                <c:pt idx="78">
                  <c:v>156.4742059754183</c:v>
                </c:pt>
                <c:pt idx="79">
                  <c:v>156.5182634082818</c:v>
                </c:pt>
                <c:pt idx="80">
                  <c:v>156.4595201644637</c:v>
                </c:pt>
                <c:pt idx="81">
                  <c:v>156.65045198825919</c:v>
                </c:pt>
                <c:pt idx="82">
                  <c:v>157.22323117825891</c:v>
                </c:pt>
                <c:pt idx="83">
                  <c:v>158.1191307720315</c:v>
                </c:pt>
                <c:pt idx="84">
                  <c:v>159.0003608362365</c:v>
                </c:pt>
                <c:pt idx="85">
                  <c:v>158.97097293294061</c:v>
                </c:pt>
                <c:pt idx="86">
                  <c:v>160.01374691764519</c:v>
                </c:pt>
                <c:pt idx="87">
                  <c:v>161.52649941566779</c:v>
                </c:pt>
                <c:pt idx="88">
                  <c:v>162.17272394182689</c:v>
                </c:pt>
                <c:pt idx="89">
                  <c:v>163.1567546827134</c:v>
                </c:pt>
                <c:pt idx="90">
                  <c:v>164.19957751157861</c:v>
                </c:pt>
                <c:pt idx="91">
                  <c:v>163.86173873407739</c:v>
                </c:pt>
                <c:pt idx="92">
                  <c:v>165.77105697203251</c:v>
                </c:pt>
                <c:pt idx="93">
                  <c:v>165.59472955225709</c:v>
                </c:pt>
                <c:pt idx="94">
                  <c:v>165.74158766180221</c:v>
                </c:pt>
                <c:pt idx="95">
                  <c:v>166.8285330490784</c:v>
                </c:pt>
                <c:pt idx="96">
                  <c:v>167.40131223907809</c:v>
                </c:pt>
                <c:pt idx="97">
                  <c:v>167.6655591479381</c:v>
                </c:pt>
                <c:pt idx="98">
                  <c:v>167.95927536702831</c:v>
                </c:pt>
                <c:pt idx="99">
                  <c:v>168.5174013088471</c:v>
                </c:pt>
                <c:pt idx="100">
                  <c:v>168.66425941839231</c:v>
                </c:pt>
                <c:pt idx="101">
                  <c:v>168.89936264475941</c:v>
                </c:pt>
                <c:pt idx="102">
                  <c:v>169.25185467044139</c:v>
                </c:pt>
                <c:pt idx="103">
                  <c:v>169.22238536021109</c:v>
                </c:pt>
                <c:pt idx="104">
                  <c:v>169.5455708895316</c:v>
                </c:pt>
                <c:pt idx="105">
                  <c:v>169.83928710862179</c:v>
                </c:pt>
                <c:pt idx="106">
                  <c:v>170.48549535339399</c:v>
                </c:pt>
                <c:pt idx="107">
                  <c:v>171.19047940475801</c:v>
                </c:pt>
                <c:pt idx="108">
                  <c:v>171.26390845953051</c:v>
                </c:pt>
                <c:pt idx="109">
                  <c:v>171.89888254736411</c:v>
                </c:pt>
                <c:pt idx="110">
                  <c:v>172.79435882507821</c:v>
                </c:pt>
                <c:pt idx="111">
                  <c:v>173.23395627050141</c:v>
                </c:pt>
                <c:pt idx="112">
                  <c:v>173.1851121098988</c:v>
                </c:pt>
                <c:pt idx="113">
                  <c:v>173.0385796280911</c:v>
                </c:pt>
                <c:pt idx="114">
                  <c:v>172.7292332776081</c:v>
                </c:pt>
                <c:pt idx="115">
                  <c:v>172.68038911700549</c:v>
                </c:pt>
                <c:pt idx="116">
                  <c:v>172.4687310877276</c:v>
                </c:pt>
                <c:pt idx="117">
                  <c:v>172.59898218266781</c:v>
                </c:pt>
                <c:pt idx="118">
                  <c:v>173.11998656242869</c:v>
                </c:pt>
                <c:pt idx="119">
                  <c:v>173.88521174520261</c:v>
                </c:pt>
                <c:pt idx="120">
                  <c:v>172.5664194089328</c:v>
                </c:pt>
                <c:pt idx="121">
                  <c:v>171.73606867868881</c:v>
                </c:pt>
                <c:pt idx="122">
                  <c:v>174.56902999363879</c:v>
                </c:pt>
              </c:numCache>
            </c:numRef>
          </c:val>
          <c:smooth val="0"/>
          <c:extLst>
            <c:ext xmlns:c16="http://schemas.microsoft.com/office/drawing/2014/chart" uri="{C3380CC4-5D6E-409C-BE32-E72D297353CC}">
              <c16:uniqueId val="{00000003-B2D6-4CC5-8C8B-DD3AD5AD7DB6}"/>
            </c:ext>
          </c:extLst>
        </c:ser>
        <c:dLbls>
          <c:showLegendKey val="0"/>
          <c:showVal val="0"/>
          <c:showCatName val="0"/>
          <c:showSerName val="0"/>
          <c:showPercent val="0"/>
          <c:showBubbleSize val="0"/>
        </c:dLbls>
        <c:smooth val="0"/>
        <c:axId val="34548527"/>
        <c:axId val="34547567"/>
      </c:lineChart>
      <c:catAx>
        <c:axId val="345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4547567"/>
        <c:crosses val="autoZero"/>
        <c:auto val="1"/>
        <c:lblAlgn val="ctr"/>
        <c:lblOffset val="100"/>
        <c:noMultiLvlLbl val="0"/>
      </c:catAx>
      <c:valAx>
        <c:axId val="34547567"/>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4548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CPI</a:t>
            </a:r>
            <a:r>
              <a:rPr lang="nl-BE" baseline="0"/>
              <a:t> per country with base month 2015-01</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lineChart>
        <c:grouping val="standard"/>
        <c:varyColors val="0"/>
        <c:ser>
          <c:idx val="0"/>
          <c:order val="0"/>
          <c:tx>
            <c:strRef>
              <c:f>'CPI base year 2015-01'!$B$1</c:f>
              <c:strCache>
                <c:ptCount val="1"/>
                <c:pt idx="0">
                  <c:v>Thailand</c:v>
                </c:pt>
              </c:strCache>
            </c:strRef>
          </c:tx>
          <c:spPr>
            <a:ln w="28575" cap="rnd">
              <a:solidFill>
                <a:schemeClr val="accent1"/>
              </a:solidFill>
              <a:round/>
            </a:ln>
            <a:effectLst/>
          </c:spPr>
          <c:marker>
            <c:symbol val="none"/>
          </c:marker>
          <c:cat>
            <c:strRef>
              <c:f>'CPI base year 2015-01'!$A$2:$A$130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 base year 2015-01'!$B$2:$B$130</c:f>
              <c:numCache>
                <c:formatCode>General</c:formatCode>
                <c:ptCount val="129"/>
                <c:pt idx="0">
                  <c:v>100</c:v>
                </c:pt>
                <c:pt idx="1">
                  <c:v>100.1226183738917</c:v>
                </c:pt>
                <c:pt idx="2">
                  <c:v>100.29239766081869</c:v>
                </c:pt>
                <c:pt idx="3">
                  <c:v>100.31126202603278</c:v>
                </c:pt>
                <c:pt idx="4">
                  <c:v>100.48104131295976</c:v>
                </c:pt>
                <c:pt idx="5">
                  <c:v>100.5847953216374</c:v>
                </c:pt>
                <c:pt idx="6">
                  <c:v>100.518770043388</c:v>
                </c:pt>
                <c:pt idx="7">
                  <c:v>100.29239766081869</c:v>
                </c:pt>
                <c:pt idx="8">
                  <c:v>100.24523674778338</c:v>
                </c:pt>
                <c:pt idx="9">
                  <c:v>100.44331258253155</c:v>
                </c:pt>
                <c:pt idx="10">
                  <c:v>100.1226183738917</c:v>
                </c:pt>
                <c:pt idx="11">
                  <c:v>99.735898887002463</c:v>
                </c:pt>
                <c:pt idx="12">
                  <c:v>99.471797774004926</c:v>
                </c:pt>
                <c:pt idx="13">
                  <c:v>99.622712695717766</c:v>
                </c:pt>
                <c:pt idx="14">
                  <c:v>99.830220713073004</c:v>
                </c:pt>
                <c:pt idx="15">
                  <c:v>100.37728730428215</c:v>
                </c:pt>
                <c:pt idx="16">
                  <c:v>100.94321826070546</c:v>
                </c:pt>
                <c:pt idx="17">
                  <c:v>100.97151480852662</c:v>
                </c:pt>
                <c:pt idx="18">
                  <c:v>100.62252405206561</c:v>
                </c:pt>
                <c:pt idx="19">
                  <c:v>100.5847953216374</c:v>
                </c:pt>
                <c:pt idx="20">
                  <c:v>100.62252405206561</c:v>
                </c:pt>
                <c:pt idx="21">
                  <c:v>100.78287115638555</c:v>
                </c:pt>
                <c:pt idx="22">
                  <c:v>100.72627806074324</c:v>
                </c:pt>
                <c:pt idx="23">
                  <c:v>100.85832861724199</c:v>
                </c:pt>
                <c:pt idx="24">
                  <c:v>101.01536674483999</c:v>
                </c:pt>
                <c:pt idx="25">
                  <c:v>101.05547210136395</c:v>
                </c:pt>
                <c:pt idx="26">
                  <c:v>100.59426050133789</c:v>
                </c:pt>
                <c:pt idx="27">
                  <c:v>100.75468192743386</c:v>
                </c:pt>
                <c:pt idx="28">
                  <c:v>100.9050770143989</c:v>
                </c:pt>
                <c:pt idx="29">
                  <c:v>100.92512969266096</c:v>
                </c:pt>
                <c:pt idx="30">
                  <c:v>100.7947872839579</c:v>
                </c:pt>
                <c:pt idx="31">
                  <c:v>100.9050770143989</c:v>
                </c:pt>
                <c:pt idx="32">
                  <c:v>101.48660468399697</c:v>
                </c:pt>
                <c:pt idx="33">
                  <c:v>101.64702611009304</c:v>
                </c:pt>
                <c:pt idx="34">
                  <c:v>101.71721048401001</c:v>
                </c:pt>
                <c:pt idx="35">
                  <c:v>101.63699977096201</c:v>
                </c:pt>
                <c:pt idx="36">
                  <c:v>101.70718414487907</c:v>
                </c:pt>
                <c:pt idx="37">
                  <c:v>101.47657834486603</c:v>
                </c:pt>
                <c:pt idx="38">
                  <c:v>101.38634129268702</c:v>
                </c:pt>
                <c:pt idx="39">
                  <c:v>101.83752655358202</c:v>
                </c:pt>
                <c:pt idx="40">
                  <c:v>102.40902788404918</c:v>
                </c:pt>
                <c:pt idx="41">
                  <c:v>102.31879083187015</c:v>
                </c:pt>
                <c:pt idx="42">
                  <c:v>102.2644681264584</c:v>
                </c:pt>
                <c:pt idx="43">
                  <c:v>102.53937029275212</c:v>
                </c:pt>
                <c:pt idx="44">
                  <c:v>102.84016046668221</c:v>
                </c:pt>
                <c:pt idx="45">
                  <c:v>102.90031850146823</c:v>
                </c:pt>
                <c:pt idx="46">
                  <c:v>102.6697127014552</c:v>
                </c:pt>
                <c:pt idx="47">
                  <c:v>101.99794797967809</c:v>
                </c:pt>
                <c:pt idx="48">
                  <c:v>101.97789530141613</c:v>
                </c:pt>
                <c:pt idx="49">
                  <c:v>102.21852744056008</c:v>
                </c:pt>
                <c:pt idx="50">
                  <c:v>102.63963368406219</c:v>
                </c:pt>
                <c:pt idx="51">
                  <c:v>103.09081894495722</c:v>
                </c:pt>
                <c:pt idx="52">
                  <c:v>103.58210956237637</c:v>
                </c:pt>
                <c:pt idx="53">
                  <c:v>103.21113501452923</c:v>
                </c:pt>
                <c:pt idx="54">
                  <c:v>103.27129304931526</c:v>
                </c:pt>
                <c:pt idx="55">
                  <c:v>103.07076626669524</c:v>
                </c:pt>
                <c:pt idx="56">
                  <c:v>103.17102965800528</c:v>
                </c:pt>
                <c:pt idx="57">
                  <c:v>103.01060823190922</c:v>
                </c:pt>
                <c:pt idx="58">
                  <c:v>102.88026582320624</c:v>
                </c:pt>
                <c:pt idx="59">
                  <c:v>102.89029216233718</c:v>
                </c:pt>
                <c:pt idx="60">
                  <c:v>103.05071358843327</c:v>
                </c:pt>
                <c:pt idx="61">
                  <c:v>102.97050287538528</c:v>
                </c:pt>
                <c:pt idx="62">
                  <c:v>102.08818503185712</c:v>
                </c:pt>
                <c:pt idx="63">
                  <c:v>100.0127328317398</c:v>
                </c:pt>
                <c:pt idx="64">
                  <c:v>100.02275917087084</c:v>
                </c:pt>
                <c:pt idx="65">
                  <c:v>101.58686807530704</c:v>
                </c:pt>
                <c:pt idx="66">
                  <c:v>102.25863279708413</c:v>
                </c:pt>
                <c:pt idx="67">
                  <c:v>102.55942297101419</c:v>
                </c:pt>
                <c:pt idx="68">
                  <c:v>102.44913324057312</c:v>
                </c:pt>
                <c:pt idx="69">
                  <c:v>102.49926493622819</c:v>
                </c:pt>
                <c:pt idx="70">
                  <c:v>102.45915957970415</c:v>
                </c:pt>
                <c:pt idx="71">
                  <c:v>102.60955466666918</c:v>
                </c:pt>
                <c:pt idx="72">
                  <c:v>102.70417563184739</c:v>
                </c:pt>
                <c:pt idx="73">
                  <c:v>101.76760082650635</c:v>
                </c:pt>
                <c:pt idx="74">
                  <c:v>102.00431753554857</c:v>
                </c:pt>
                <c:pt idx="75">
                  <c:v>103.41432575897407</c:v>
                </c:pt>
                <c:pt idx="76">
                  <c:v>102.45716689197721</c:v>
                </c:pt>
                <c:pt idx="77">
                  <c:v>102.84826406343835</c:v>
                </c:pt>
                <c:pt idx="78">
                  <c:v>102.72475969350322</c:v>
                </c:pt>
                <c:pt idx="79">
                  <c:v>102.53950313860065</c:v>
                </c:pt>
                <c:pt idx="80">
                  <c:v>104.16564400941255</c:v>
                </c:pt>
                <c:pt idx="81">
                  <c:v>104.93754632150676</c:v>
                </c:pt>
                <c:pt idx="82">
                  <c:v>105.2360152155166</c:v>
                </c:pt>
                <c:pt idx="83">
                  <c:v>104.83462601322753</c:v>
                </c:pt>
                <c:pt idx="84">
                  <c:v>98.237434252528686</c:v>
                </c:pt>
                <c:pt idx="85">
                  <c:v>99.328389520288525</c:v>
                </c:pt>
                <c:pt idx="86">
                  <c:v>100.00766355493144</c:v>
                </c:pt>
                <c:pt idx="87">
                  <c:v>100.35759260308086</c:v>
                </c:pt>
                <c:pt idx="88">
                  <c:v>101.7984769189901</c:v>
                </c:pt>
                <c:pt idx="89">
                  <c:v>102.72475969350322</c:v>
                </c:pt>
                <c:pt idx="90">
                  <c:v>102.56008720025646</c:v>
                </c:pt>
                <c:pt idx="91">
                  <c:v>102.61154735439611</c:v>
                </c:pt>
                <c:pt idx="92">
                  <c:v>102.83797203261038</c:v>
                </c:pt>
                <c:pt idx="93">
                  <c:v>103.17760904993185</c:v>
                </c:pt>
                <c:pt idx="94">
                  <c:v>103.04381264916887</c:v>
                </c:pt>
                <c:pt idx="95">
                  <c:v>102.98206046420133</c:v>
                </c:pt>
                <c:pt idx="96">
                  <c:v>103.29082138903904</c:v>
                </c:pt>
                <c:pt idx="97">
                  <c:v>111.2053930957121</c:v>
                </c:pt>
                <c:pt idx="98">
                  <c:v>110.90692420170234</c:v>
                </c:pt>
                <c:pt idx="99">
                  <c:v>111.1127648182608</c:v>
                </c:pt>
                <c:pt idx="100">
                  <c:v>110.32027844451071</c:v>
                </c:pt>
                <c:pt idx="101">
                  <c:v>110.97896841749781</c:v>
                </c:pt>
                <c:pt idx="102">
                  <c:v>110.96867638666986</c:v>
                </c:pt>
                <c:pt idx="103">
                  <c:v>111.57590620551741</c:v>
                </c:pt>
                <c:pt idx="104">
                  <c:v>111.17451700322832</c:v>
                </c:pt>
                <c:pt idx="105">
                  <c:v>110.86575607839065</c:v>
                </c:pt>
                <c:pt idx="106">
                  <c:v>110.58787124603668</c:v>
                </c:pt>
                <c:pt idx="107">
                  <c:v>110.08356173546846</c:v>
                </c:pt>
                <c:pt idx="108">
                  <c:v>110.10414579712429</c:v>
                </c:pt>
                <c:pt idx="109">
                  <c:v>110.35115453699447</c:v>
                </c:pt>
                <c:pt idx="110">
                  <c:v>110.38203062947822</c:v>
                </c:pt>
                <c:pt idx="111">
                  <c:v>112.5433571033422</c:v>
                </c:pt>
                <c:pt idx="112">
                  <c:v>113.46963987785522</c:v>
                </c:pt>
                <c:pt idx="113">
                  <c:v>112.97562239811494</c:v>
                </c:pt>
                <c:pt idx="114">
                  <c:v>113.22263113798512</c:v>
                </c:pt>
                <c:pt idx="115">
                  <c:v>113.37701160040392</c:v>
                </c:pt>
                <c:pt idx="116">
                  <c:v>111.85379103787123</c:v>
                </c:pt>
                <c:pt idx="117">
                  <c:v>111.11592074547376</c:v>
                </c:pt>
                <c:pt idx="118">
                  <c:v>110.97258804357936</c:v>
                </c:pt>
                <c:pt idx="119">
                  <c:v>110.77412737941799</c:v>
                </c:pt>
                <c:pt idx="120">
                  <c:v>110.88438330395212</c:v>
                </c:pt>
                <c:pt idx="121">
                  <c:v>110.86233211904535</c:v>
                </c:pt>
                <c:pt idx="122">
                  <c:v>110.6418202699771</c:v>
                </c:pt>
              </c:numCache>
            </c:numRef>
          </c:val>
          <c:smooth val="0"/>
          <c:extLst>
            <c:ext xmlns:c16="http://schemas.microsoft.com/office/drawing/2014/chart" uri="{C3380CC4-5D6E-409C-BE32-E72D297353CC}">
              <c16:uniqueId val="{00000000-2F83-4326-BA2A-BA77AD5BB4A4}"/>
            </c:ext>
          </c:extLst>
        </c:ser>
        <c:ser>
          <c:idx val="1"/>
          <c:order val="1"/>
          <c:tx>
            <c:strRef>
              <c:f>'CPI base year 2015-01'!$C$1</c:f>
              <c:strCache>
                <c:ptCount val="1"/>
                <c:pt idx="0">
                  <c:v>Philippines</c:v>
                </c:pt>
              </c:strCache>
            </c:strRef>
          </c:tx>
          <c:spPr>
            <a:ln w="28575" cap="rnd">
              <a:solidFill>
                <a:schemeClr val="accent2"/>
              </a:solidFill>
              <a:round/>
            </a:ln>
            <a:effectLst/>
          </c:spPr>
          <c:marker>
            <c:symbol val="none"/>
          </c:marker>
          <c:cat>
            <c:strRef>
              <c:f>'CPI base year 2015-01'!$A$2:$A$130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 base year 2015-01'!$C$2:$C$130</c:f>
              <c:numCache>
                <c:formatCode>General</c:formatCode>
                <c:ptCount val="129"/>
                <c:pt idx="0">
                  <c:v>100</c:v>
                </c:pt>
                <c:pt idx="1">
                  <c:v>100.09363295880146</c:v>
                </c:pt>
                <c:pt idx="2">
                  <c:v>100</c:v>
                </c:pt>
                <c:pt idx="3">
                  <c:v>100.18726591760303</c:v>
                </c:pt>
                <c:pt idx="4">
                  <c:v>100.09363295880146</c:v>
                </c:pt>
                <c:pt idx="5">
                  <c:v>100.09363295880146</c:v>
                </c:pt>
                <c:pt idx="6">
                  <c:v>100.28089887640452</c:v>
                </c:pt>
                <c:pt idx="7">
                  <c:v>100.28089887640452</c:v>
                </c:pt>
                <c:pt idx="8">
                  <c:v>100.09363295880146</c:v>
                </c:pt>
                <c:pt idx="9">
                  <c:v>100.18726591760303</c:v>
                </c:pt>
                <c:pt idx="10">
                  <c:v>100.46816479400746</c:v>
                </c:pt>
                <c:pt idx="11">
                  <c:v>100.65543071161052</c:v>
                </c:pt>
                <c:pt idx="12">
                  <c:v>100.74906367041199</c:v>
                </c:pt>
                <c:pt idx="13">
                  <c:v>100.56179775280903</c:v>
                </c:pt>
                <c:pt idx="14">
                  <c:v>100.56179775280903</c:v>
                </c:pt>
                <c:pt idx="15">
                  <c:v>100.84269662921346</c:v>
                </c:pt>
                <c:pt idx="16">
                  <c:v>101.02996254681651</c:v>
                </c:pt>
                <c:pt idx="17">
                  <c:v>101.40449438202248</c:v>
                </c:pt>
                <c:pt idx="18">
                  <c:v>101.59176029962545</c:v>
                </c:pt>
                <c:pt idx="19">
                  <c:v>101.59176029962545</c:v>
                </c:pt>
                <c:pt idx="20">
                  <c:v>101.77902621722848</c:v>
                </c:pt>
                <c:pt idx="21">
                  <c:v>101.96629213483143</c:v>
                </c:pt>
                <c:pt idx="22">
                  <c:v>102.52808988764046</c:v>
                </c:pt>
                <c:pt idx="23">
                  <c:v>102.90262172284645</c:v>
                </c:pt>
                <c:pt idx="24">
                  <c:v>103.27715355805245</c:v>
                </c:pt>
                <c:pt idx="25">
                  <c:v>103.65168539325845</c:v>
                </c:pt>
                <c:pt idx="26">
                  <c:v>103.65168539325845</c:v>
                </c:pt>
                <c:pt idx="27">
                  <c:v>104.02621722846443</c:v>
                </c:pt>
                <c:pt idx="28">
                  <c:v>103.93258426966297</c:v>
                </c:pt>
                <c:pt idx="29">
                  <c:v>103.93258426966297</c:v>
                </c:pt>
                <c:pt idx="30">
                  <c:v>104.02621722846443</c:v>
                </c:pt>
                <c:pt idx="31">
                  <c:v>104.21348314606746</c:v>
                </c:pt>
                <c:pt idx="32">
                  <c:v>104.8689138576779</c:v>
                </c:pt>
                <c:pt idx="33">
                  <c:v>105.14981273408242</c:v>
                </c:pt>
                <c:pt idx="34">
                  <c:v>105.61797752808988</c:v>
                </c:pt>
                <c:pt idx="35">
                  <c:v>105.89887640449437</c:v>
                </c:pt>
                <c:pt idx="36">
                  <c:v>106.83520599250933</c:v>
                </c:pt>
                <c:pt idx="37">
                  <c:v>107.60459533607683</c:v>
                </c:pt>
                <c:pt idx="38">
                  <c:v>108.15415915291071</c:v>
                </c:pt>
                <c:pt idx="39">
                  <c:v>108.5938102063778</c:v>
                </c:pt>
                <c:pt idx="40">
                  <c:v>108.81363573311135</c:v>
                </c:pt>
                <c:pt idx="41">
                  <c:v>109.25328678657853</c:v>
                </c:pt>
                <c:pt idx="42">
                  <c:v>110.13258889351272</c:v>
                </c:pt>
                <c:pt idx="43">
                  <c:v>111.1218037638138</c:v>
                </c:pt>
                <c:pt idx="44">
                  <c:v>112.22093139748152</c:v>
                </c:pt>
                <c:pt idx="45">
                  <c:v>112.44075692421509</c:v>
                </c:pt>
                <c:pt idx="46">
                  <c:v>112.11101863411474</c:v>
                </c:pt>
                <c:pt idx="47">
                  <c:v>111.4515420539141</c:v>
                </c:pt>
                <c:pt idx="48">
                  <c:v>111.56145481728088</c:v>
                </c:pt>
                <c:pt idx="49">
                  <c:v>111.67136758064767</c:v>
                </c:pt>
                <c:pt idx="50">
                  <c:v>111.78128034401445</c:v>
                </c:pt>
                <c:pt idx="51">
                  <c:v>112.11101863411474</c:v>
                </c:pt>
                <c:pt idx="52">
                  <c:v>112.33084416084832</c:v>
                </c:pt>
                <c:pt idx="53">
                  <c:v>112.22093139748152</c:v>
                </c:pt>
                <c:pt idx="54">
                  <c:v>112.55066968758183</c:v>
                </c:pt>
                <c:pt idx="55">
                  <c:v>112.66058245094861</c:v>
                </c:pt>
                <c:pt idx="56">
                  <c:v>112.77049521431539</c:v>
                </c:pt>
                <c:pt idx="57">
                  <c:v>113.1002335044158</c:v>
                </c:pt>
                <c:pt idx="58">
                  <c:v>113.42997179451612</c:v>
                </c:pt>
                <c:pt idx="59">
                  <c:v>114.08944837471677</c:v>
                </c:pt>
                <c:pt idx="60">
                  <c:v>114.85883771828429</c:v>
                </c:pt>
                <c:pt idx="61">
                  <c:v>114.41918666481709</c:v>
                </c:pt>
                <c:pt idx="62">
                  <c:v>114.19936113808356</c:v>
                </c:pt>
                <c:pt idx="63">
                  <c:v>114.08944837471677</c:v>
                </c:pt>
                <c:pt idx="64">
                  <c:v>114.08944837471677</c:v>
                </c:pt>
                <c:pt idx="65">
                  <c:v>114.74892495491741</c:v>
                </c:pt>
                <c:pt idx="66">
                  <c:v>115.29848877175138</c:v>
                </c:pt>
                <c:pt idx="67">
                  <c:v>115.18857600838462</c:v>
                </c:pt>
                <c:pt idx="68">
                  <c:v>115.29848877175138</c:v>
                </c:pt>
                <c:pt idx="69">
                  <c:v>115.73813982521848</c:v>
                </c:pt>
                <c:pt idx="70">
                  <c:v>116.83726745888632</c:v>
                </c:pt>
                <c:pt idx="71">
                  <c:v>117.82648232918727</c:v>
                </c:pt>
                <c:pt idx="72">
                  <c:v>119.14543548958866</c:v>
                </c:pt>
                <c:pt idx="73">
                  <c:v>119.25534825295543</c:v>
                </c:pt>
                <c:pt idx="74">
                  <c:v>118.92560996285511</c:v>
                </c:pt>
                <c:pt idx="75">
                  <c:v>118.81569719948833</c:v>
                </c:pt>
                <c:pt idx="76">
                  <c:v>118.81569719948833</c:v>
                </c:pt>
                <c:pt idx="77">
                  <c:v>119.03552272622188</c:v>
                </c:pt>
                <c:pt idx="78">
                  <c:v>119.58508654305575</c:v>
                </c:pt>
                <c:pt idx="79">
                  <c:v>120.2445631232564</c:v>
                </c:pt>
                <c:pt idx="80">
                  <c:v>120.13465035988962</c:v>
                </c:pt>
                <c:pt idx="81">
                  <c:v>120.35447588662318</c:v>
                </c:pt>
                <c:pt idx="82">
                  <c:v>121.12386523019067</c:v>
                </c:pt>
                <c:pt idx="83">
                  <c:v>121.453603520291</c:v>
                </c:pt>
                <c:pt idx="84">
                  <c:v>122.77255668069238</c:v>
                </c:pt>
                <c:pt idx="85">
                  <c:v>122.88246944405914</c:v>
                </c:pt>
                <c:pt idx="86">
                  <c:v>123.65185878762657</c:v>
                </c:pt>
                <c:pt idx="87">
                  <c:v>124.64107365792762</c:v>
                </c:pt>
                <c:pt idx="88">
                  <c:v>125.19063747476149</c:v>
                </c:pt>
                <c:pt idx="89">
                  <c:v>126.28976510842924</c:v>
                </c:pt>
                <c:pt idx="90">
                  <c:v>127.27897997873031</c:v>
                </c:pt>
                <c:pt idx="91">
                  <c:v>127.82854379556416</c:v>
                </c:pt>
                <c:pt idx="92">
                  <c:v>128.37810761239805</c:v>
                </c:pt>
                <c:pt idx="93">
                  <c:v>129.58714800943264</c:v>
                </c:pt>
                <c:pt idx="94">
                  <c:v>130.79618840646728</c:v>
                </c:pt>
                <c:pt idx="95">
                  <c:v>131.23583945993437</c:v>
                </c:pt>
                <c:pt idx="96">
                  <c:v>133.43409472726992</c:v>
                </c:pt>
                <c:pt idx="97">
                  <c:v>133.43409472726992</c:v>
                </c:pt>
                <c:pt idx="98">
                  <c:v>133.1043564371696</c:v>
                </c:pt>
                <c:pt idx="99">
                  <c:v>132.88453091043607</c:v>
                </c:pt>
                <c:pt idx="100">
                  <c:v>132.88453091043607</c:v>
                </c:pt>
                <c:pt idx="101">
                  <c:v>133.1043564371696</c:v>
                </c:pt>
                <c:pt idx="102">
                  <c:v>133.21426920053639</c:v>
                </c:pt>
                <c:pt idx="103">
                  <c:v>134.64313512430454</c:v>
                </c:pt>
                <c:pt idx="104">
                  <c:v>136.18191381143939</c:v>
                </c:pt>
                <c:pt idx="105">
                  <c:v>135.96208828470583</c:v>
                </c:pt>
                <c:pt idx="106">
                  <c:v>136.18191381143939</c:v>
                </c:pt>
                <c:pt idx="107">
                  <c:v>136.40173933817289</c:v>
                </c:pt>
                <c:pt idx="108">
                  <c:v>137.17112868174044</c:v>
                </c:pt>
                <c:pt idx="109">
                  <c:v>137.94051802530785</c:v>
                </c:pt>
                <c:pt idx="110">
                  <c:v>138.05043078867462</c:v>
                </c:pt>
                <c:pt idx="111">
                  <c:v>137.94051802530785</c:v>
                </c:pt>
                <c:pt idx="112">
                  <c:v>138.05043078867462</c:v>
                </c:pt>
                <c:pt idx="113">
                  <c:v>138.05043078867462</c:v>
                </c:pt>
                <c:pt idx="114">
                  <c:v>139.03964565897567</c:v>
                </c:pt>
                <c:pt idx="115">
                  <c:v>139.14955842234244</c:v>
                </c:pt>
                <c:pt idx="116">
                  <c:v>138.81982013224211</c:v>
                </c:pt>
                <c:pt idx="117">
                  <c:v>139.03964565897567</c:v>
                </c:pt>
                <c:pt idx="118">
                  <c:v>139.58920947580955</c:v>
                </c:pt>
                <c:pt idx="119">
                  <c:v>140.35859881937705</c:v>
                </c:pt>
                <c:pt idx="120">
                  <c:v>141.12798816294446</c:v>
                </c:pt>
                <c:pt idx="121">
                  <c:v>140.79824987284414</c:v>
                </c:pt>
                <c:pt idx="122">
                  <c:v>140.46851158274382</c:v>
                </c:pt>
                <c:pt idx="123">
                  <c:v>139.91894776590988</c:v>
                </c:pt>
                <c:pt idx="124">
                  <c:v>139.80903500254308</c:v>
                </c:pt>
                <c:pt idx="125">
                  <c:v>139.91894776590988</c:v>
                </c:pt>
                <c:pt idx="126">
                  <c:v>140.35859881937705</c:v>
                </c:pt>
                <c:pt idx="127">
                  <c:v>141.23790092631126</c:v>
                </c:pt>
                <c:pt idx="128">
                  <c:v>141.23790092631126</c:v>
                </c:pt>
              </c:numCache>
            </c:numRef>
          </c:val>
          <c:smooth val="0"/>
          <c:extLst>
            <c:ext xmlns:c16="http://schemas.microsoft.com/office/drawing/2014/chart" uri="{C3380CC4-5D6E-409C-BE32-E72D297353CC}">
              <c16:uniqueId val="{00000001-2F83-4326-BA2A-BA77AD5BB4A4}"/>
            </c:ext>
          </c:extLst>
        </c:ser>
        <c:ser>
          <c:idx val="2"/>
          <c:order val="2"/>
          <c:tx>
            <c:strRef>
              <c:f>'CPI base year 2015-01'!$D$1</c:f>
              <c:strCache>
                <c:ptCount val="1"/>
                <c:pt idx="0">
                  <c:v>Korea</c:v>
                </c:pt>
              </c:strCache>
            </c:strRef>
          </c:tx>
          <c:spPr>
            <a:ln w="28575" cap="rnd">
              <a:solidFill>
                <a:schemeClr val="accent3"/>
              </a:solidFill>
              <a:round/>
            </a:ln>
            <a:effectLst/>
          </c:spPr>
          <c:marker>
            <c:symbol val="none"/>
          </c:marker>
          <c:cat>
            <c:strRef>
              <c:f>'CPI base year 2015-01'!$A$2:$A$130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 base year 2015-01'!$D$2:$D$130</c:f>
              <c:numCache>
                <c:formatCode>General</c:formatCode>
                <c:ptCount val="129"/>
                <c:pt idx="0">
                  <c:v>100</c:v>
                </c:pt>
                <c:pt idx="1">
                  <c:v>99.940830277992006</c:v>
                </c:pt>
                <c:pt idx="2">
                  <c:v>99.950339697600427</c:v>
                </c:pt>
                <c:pt idx="3">
                  <c:v>99.980981160783173</c:v>
                </c:pt>
                <c:pt idx="4">
                  <c:v>100.26098073814225</c:v>
                </c:pt>
                <c:pt idx="5">
                  <c:v>100.2810561795378</c:v>
                </c:pt>
                <c:pt idx="6">
                  <c:v>100.46173515209789</c:v>
                </c:pt>
                <c:pt idx="7">
                  <c:v>100.60226324186684</c:v>
                </c:pt>
                <c:pt idx="8">
                  <c:v>100.3412825037245</c:v>
                </c:pt>
                <c:pt idx="9">
                  <c:v>100.3412825037245</c:v>
                </c:pt>
                <c:pt idx="10">
                  <c:v>100.15109411155608</c:v>
                </c:pt>
                <c:pt idx="11">
                  <c:v>100.45116913031077</c:v>
                </c:pt>
                <c:pt idx="12">
                  <c:v>100.62233868326238</c:v>
                </c:pt>
                <c:pt idx="13">
                  <c:v>101.05343237217753</c:v>
                </c:pt>
                <c:pt idx="14">
                  <c:v>100.79245163403527</c:v>
                </c:pt>
                <c:pt idx="15">
                  <c:v>100.9826400262037</c:v>
                </c:pt>
                <c:pt idx="16">
                  <c:v>101.0428663503904</c:v>
                </c:pt>
                <c:pt idx="17">
                  <c:v>101.02279090899486</c:v>
                </c:pt>
                <c:pt idx="18">
                  <c:v>100.83260251682643</c:v>
                </c:pt>
                <c:pt idx="19">
                  <c:v>101.09252665278996</c:v>
                </c:pt>
                <c:pt idx="20">
                  <c:v>101.69478989465671</c:v>
                </c:pt>
                <c:pt idx="21">
                  <c:v>101.83426138224694</c:v>
                </c:pt>
                <c:pt idx="22">
                  <c:v>101.68422387286959</c:v>
                </c:pt>
                <c:pt idx="23">
                  <c:v>101.79516710163459</c:v>
                </c:pt>
                <c:pt idx="24">
                  <c:v>102.87712773263742</c:v>
                </c:pt>
                <c:pt idx="25">
                  <c:v>103.15818391217522</c:v>
                </c:pt>
                <c:pt idx="26">
                  <c:v>103.08739156620139</c:v>
                </c:pt>
                <c:pt idx="27">
                  <c:v>102.95742949821967</c:v>
                </c:pt>
                <c:pt idx="28">
                  <c:v>103.06731612480584</c:v>
                </c:pt>
                <c:pt idx="29">
                  <c:v>102.84754287163338</c:v>
                </c:pt>
                <c:pt idx="30">
                  <c:v>103.01765582240627</c:v>
                </c:pt>
                <c:pt idx="31">
                  <c:v>103.60829644030727</c:v>
                </c:pt>
                <c:pt idx="32">
                  <c:v>103.72874908868057</c:v>
                </c:pt>
                <c:pt idx="33">
                  <c:v>103.62837188170282</c:v>
                </c:pt>
                <c:pt idx="34">
                  <c:v>102.8570522912418</c:v>
                </c:pt>
                <c:pt idx="35">
                  <c:v>103.22791965597034</c:v>
                </c:pt>
                <c:pt idx="36">
                  <c:v>103.65901334488557</c:v>
                </c:pt>
                <c:pt idx="37">
                  <c:v>104.4504083767421</c:v>
                </c:pt>
                <c:pt idx="38">
                  <c:v>104.34052175015583</c:v>
                </c:pt>
                <c:pt idx="39">
                  <c:v>104.53071014232434</c:v>
                </c:pt>
                <c:pt idx="40">
                  <c:v>104.58142704690255</c:v>
                </c:pt>
                <c:pt idx="41">
                  <c:v>104.37010661115987</c:v>
                </c:pt>
                <c:pt idx="42">
                  <c:v>104.17040879938293</c:v>
                </c:pt>
                <c:pt idx="43">
                  <c:v>105.09176589922131</c:v>
                </c:pt>
                <c:pt idx="44">
                  <c:v>105.89372695286498</c:v>
                </c:pt>
                <c:pt idx="45">
                  <c:v>105.70353856069654</c:v>
                </c:pt>
                <c:pt idx="46">
                  <c:v>104.95229441163107</c:v>
                </c:pt>
                <c:pt idx="47">
                  <c:v>104.59093646651094</c:v>
                </c:pt>
                <c:pt idx="48">
                  <c:v>104.48104983992476</c:v>
                </c:pt>
                <c:pt idx="49">
                  <c:v>104.93221897023552</c:v>
                </c:pt>
                <c:pt idx="50">
                  <c:v>104.73146455627989</c:v>
                </c:pt>
                <c:pt idx="51">
                  <c:v>105.11184134061683</c:v>
                </c:pt>
                <c:pt idx="52">
                  <c:v>105.29252031317687</c:v>
                </c:pt>
                <c:pt idx="53">
                  <c:v>105.12240736240398</c:v>
                </c:pt>
                <c:pt idx="54">
                  <c:v>104.80120030007501</c:v>
                </c:pt>
                <c:pt idx="55">
                  <c:v>105.05267161860885</c:v>
                </c:pt>
                <c:pt idx="56">
                  <c:v>105.44255782255421</c:v>
                </c:pt>
                <c:pt idx="57">
                  <c:v>105.70353856069654</c:v>
                </c:pt>
                <c:pt idx="58">
                  <c:v>105.11184134061683</c:v>
                </c:pt>
                <c:pt idx="59">
                  <c:v>105.36331265915067</c:v>
                </c:pt>
                <c:pt idx="60">
                  <c:v>105.75531206745346</c:v>
                </c:pt>
                <c:pt idx="61">
                  <c:v>105.82927421996342</c:v>
                </c:pt>
                <c:pt idx="62">
                  <c:v>105.59682174064639</c:v>
                </c:pt>
                <c:pt idx="63">
                  <c:v>105.13191678201237</c:v>
                </c:pt>
                <c:pt idx="64">
                  <c:v>105.06852065128953</c:v>
                </c:pt>
                <c:pt idx="65">
                  <c:v>105.35380323954226</c:v>
                </c:pt>
                <c:pt idx="66">
                  <c:v>105.2692750652452</c:v>
                </c:pt>
                <c:pt idx="67">
                  <c:v>105.86097228532489</c:v>
                </c:pt>
                <c:pt idx="68">
                  <c:v>106.44210348361737</c:v>
                </c:pt>
                <c:pt idx="69">
                  <c:v>105.85040626353768</c:v>
                </c:pt>
                <c:pt idx="70">
                  <c:v>105.75531206745346</c:v>
                </c:pt>
                <c:pt idx="71">
                  <c:v>106.00889659034473</c:v>
                </c:pt>
                <c:pt idx="72">
                  <c:v>106.7590841372315</c:v>
                </c:pt>
                <c:pt idx="73">
                  <c:v>107.32964931373685</c:v>
                </c:pt>
                <c:pt idx="74">
                  <c:v>107.60436588020245</c:v>
                </c:pt>
                <c:pt idx="75">
                  <c:v>107.75229018522239</c:v>
                </c:pt>
                <c:pt idx="76">
                  <c:v>107.82625233773236</c:v>
                </c:pt>
                <c:pt idx="77">
                  <c:v>107.82625233773236</c:v>
                </c:pt>
                <c:pt idx="78">
                  <c:v>108.04813879526216</c:v>
                </c:pt>
                <c:pt idx="79">
                  <c:v>108.56587386283189</c:v>
                </c:pt>
                <c:pt idx="80">
                  <c:v>109.00964677789169</c:v>
                </c:pt>
                <c:pt idx="81">
                  <c:v>109.19983517006011</c:v>
                </c:pt>
                <c:pt idx="82">
                  <c:v>109.74926830299123</c:v>
                </c:pt>
                <c:pt idx="83">
                  <c:v>109.92889067337252</c:v>
                </c:pt>
                <c:pt idx="84">
                  <c:v>110.78473843813063</c:v>
                </c:pt>
                <c:pt idx="85">
                  <c:v>111.38700167999747</c:v>
                </c:pt>
                <c:pt idx="86">
                  <c:v>112.10549116152275</c:v>
                </c:pt>
                <c:pt idx="87">
                  <c:v>112.87681075198377</c:v>
                </c:pt>
                <c:pt idx="88">
                  <c:v>113.58473421172195</c:v>
                </c:pt>
                <c:pt idx="89">
                  <c:v>114.33492175860871</c:v>
                </c:pt>
                <c:pt idx="90">
                  <c:v>114.88435489153983</c:v>
                </c:pt>
                <c:pt idx="91">
                  <c:v>114.7786946736684</c:v>
                </c:pt>
                <c:pt idx="92">
                  <c:v>114.97944908762405</c:v>
                </c:pt>
                <c:pt idx="93">
                  <c:v>115.33869382838664</c:v>
                </c:pt>
                <c:pt idx="94">
                  <c:v>115.24359963230242</c:v>
                </c:pt>
                <c:pt idx="95">
                  <c:v>115.44435404625806</c:v>
                </c:pt>
                <c:pt idx="96">
                  <c:v>116.30020181101617</c:v>
                </c:pt>
                <c:pt idx="97">
                  <c:v>116.57491837748168</c:v>
                </c:pt>
                <c:pt idx="98">
                  <c:v>116.77567279143733</c:v>
                </c:pt>
                <c:pt idx="99">
                  <c:v>117.03982333611572</c:v>
                </c:pt>
                <c:pt idx="100">
                  <c:v>117.42020012045265</c:v>
                </c:pt>
                <c:pt idx="101">
                  <c:v>117.45189818581406</c:v>
                </c:pt>
                <c:pt idx="102">
                  <c:v>117.58925646904683</c:v>
                </c:pt>
                <c:pt idx="103">
                  <c:v>118.63529262597336</c:v>
                </c:pt>
                <c:pt idx="104">
                  <c:v>119.2375558678402</c:v>
                </c:pt>
                <c:pt idx="105">
                  <c:v>119.68132878289997</c:v>
                </c:pt>
                <c:pt idx="106">
                  <c:v>119.0579334974589</c:v>
                </c:pt>
                <c:pt idx="107">
                  <c:v>119.11076360639453</c:v>
                </c:pt>
                <c:pt idx="108">
                  <c:v>119.57566856502855</c:v>
                </c:pt>
                <c:pt idx="109">
                  <c:v>120.2201958940439</c:v>
                </c:pt>
                <c:pt idx="110">
                  <c:v>120.39981826442528</c:v>
                </c:pt>
                <c:pt idx="111">
                  <c:v>120.46321439514813</c:v>
                </c:pt>
                <c:pt idx="112">
                  <c:v>120.5583085912323</c:v>
                </c:pt>
                <c:pt idx="113">
                  <c:v>120.2835920247667</c:v>
                </c:pt>
                <c:pt idx="114">
                  <c:v>120.5900066565937</c:v>
                </c:pt>
                <c:pt idx="115">
                  <c:v>121.02321354986636</c:v>
                </c:pt>
                <c:pt idx="116">
                  <c:v>121.13943978952481</c:v>
                </c:pt>
                <c:pt idx="117">
                  <c:v>121.18170387667342</c:v>
                </c:pt>
                <c:pt idx="118">
                  <c:v>120.87528924484643</c:v>
                </c:pt>
                <c:pt idx="119">
                  <c:v>121.41415635599043</c:v>
                </c:pt>
                <c:pt idx="120">
                  <c:v>122.25943809896131</c:v>
                </c:pt>
                <c:pt idx="121">
                  <c:v>122.65038090508537</c:v>
                </c:pt>
                <c:pt idx="122">
                  <c:v>122.87226736261528</c:v>
                </c:pt>
                <c:pt idx="123">
                  <c:v>122.96736155869948</c:v>
                </c:pt>
                <c:pt idx="124">
                  <c:v>122.85113531904102</c:v>
                </c:pt>
                <c:pt idx="125">
                  <c:v>122.89339940618962</c:v>
                </c:pt>
                <c:pt idx="126">
                  <c:v>123.11528586371942</c:v>
                </c:pt>
                <c:pt idx="127">
                  <c:v>123.04132371120946</c:v>
                </c:pt>
                <c:pt idx="128">
                  <c:v>123.68585104022488</c:v>
                </c:pt>
              </c:numCache>
            </c:numRef>
          </c:val>
          <c:smooth val="0"/>
          <c:extLst>
            <c:ext xmlns:c16="http://schemas.microsoft.com/office/drawing/2014/chart" uri="{C3380CC4-5D6E-409C-BE32-E72D297353CC}">
              <c16:uniqueId val="{00000002-2F83-4326-BA2A-BA77AD5BB4A4}"/>
            </c:ext>
          </c:extLst>
        </c:ser>
        <c:ser>
          <c:idx val="3"/>
          <c:order val="3"/>
          <c:tx>
            <c:strRef>
              <c:f>'CPI base year 2015-01'!$E$1</c:f>
              <c:strCache>
                <c:ptCount val="1"/>
                <c:pt idx="0">
                  <c:v>Indonesia</c:v>
                </c:pt>
              </c:strCache>
            </c:strRef>
          </c:tx>
          <c:spPr>
            <a:ln w="28575" cap="rnd">
              <a:solidFill>
                <a:schemeClr val="accent4"/>
              </a:solidFill>
              <a:round/>
            </a:ln>
            <a:effectLst/>
          </c:spPr>
          <c:marker>
            <c:symbol val="none"/>
          </c:marker>
          <c:cat>
            <c:strRef>
              <c:f>'CPI base year 2015-01'!$A$2:$A$130</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'CPI base year 2015-01'!$E$2:$E$130</c:f>
              <c:numCache>
                <c:formatCode>General</c:formatCode>
                <c:ptCount val="129"/>
                <c:pt idx="0">
                  <c:v>100</c:v>
                </c:pt>
                <c:pt idx="1">
                  <c:v>99.637771033492314</c:v>
                </c:pt>
                <c:pt idx="2">
                  <c:v>99.806251945126874</c:v>
                </c:pt>
                <c:pt idx="3">
                  <c:v>100.16848091163457</c:v>
                </c:pt>
                <c:pt idx="4">
                  <c:v>100.66549710420314</c:v>
                </c:pt>
                <c:pt idx="5">
                  <c:v>101.20462104091396</c:v>
                </c:pt>
                <c:pt idx="6">
                  <c:v>102.14809417204106</c:v>
                </c:pt>
                <c:pt idx="7">
                  <c:v>102.54401682412239</c:v>
                </c:pt>
                <c:pt idx="8">
                  <c:v>102.4934700538787</c:v>
                </c:pt>
                <c:pt idx="9">
                  <c:v>102.40922959806149</c:v>
                </c:pt>
                <c:pt idx="10">
                  <c:v>102.61983073760463</c:v>
                </c:pt>
                <c:pt idx="11">
                  <c:v>103.60542409664035</c:v>
                </c:pt>
                <c:pt idx="12">
                  <c:v>104.13613397478258</c:v>
                </c:pt>
                <c:pt idx="13">
                  <c:v>104.04346697663027</c:v>
                </c:pt>
                <c:pt idx="14">
                  <c:v>104.2456415738384</c:v>
                </c:pt>
                <c:pt idx="15">
                  <c:v>103.77390500827491</c:v>
                </c:pt>
                <c:pt idx="16">
                  <c:v>104.01819983339171</c:v>
                </c:pt>
                <c:pt idx="17">
                  <c:v>104.70053753849839</c:v>
                </c:pt>
                <c:pt idx="18">
                  <c:v>105.42498298774736</c:v>
                </c:pt>
                <c:pt idx="19">
                  <c:v>105.40812990307731</c:v>
                </c:pt>
                <c:pt idx="20">
                  <c:v>105.6440106696255</c:v>
                </c:pt>
                <c:pt idx="21">
                  <c:v>105.79563849659002</c:v>
                </c:pt>
                <c:pt idx="22">
                  <c:v>106.29264220539223</c:v>
                </c:pt>
                <c:pt idx="23">
                  <c:v>106.73911162771716</c:v>
                </c:pt>
                <c:pt idx="24">
                  <c:v>107.7752517569965</c:v>
                </c:pt>
                <c:pt idx="25">
                  <c:v>108.02797312444834</c:v>
                </c:pt>
                <c:pt idx="26">
                  <c:v>108.01112003977829</c:v>
                </c:pt>
                <c:pt idx="27">
                  <c:v>108.1037870379306</c:v>
                </c:pt>
                <c:pt idx="28">
                  <c:v>108.52497683325049</c:v>
                </c:pt>
                <c:pt idx="29">
                  <c:v>109.27470190950446</c:v>
                </c:pt>
                <c:pt idx="30">
                  <c:v>109.51057019228625</c:v>
                </c:pt>
                <c:pt idx="31">
                  <c:v>109.43475627880399</c:v>
                </c:pt>
                <c:pt idx="32">
                  <c:v>109.57797004719994</c:v>
                </c:pt>
                <c:pt idx="33">
                  <c:v>109.5863841057685</c:v>
                </c:pt>
                <c:pt idx="34">
                  <c:v>109.80541178764669</c:v>
                </c:pt>
                <c:pt idx="35">
                  <c:v>110.58883054947424</c:v>
                </c:pt>
                <c:pt idx="36">
                  <c:v>111.27958231314959</c:v>
                </c:pt>
                <c:pt idx="37">
                  <c:v>111.46491630945413</c:v>
                </c:pt>
                <c:pt idx="38">
                  <c:v>111.68393150756586</c:v>
                </c:pt>
                <c:pt idx="39">
                  <c:v>111.7934515903882</c:v>
                </c:pt>
                <c:pt idx="40">
                  <c:v>112.02931987316992</c:v>
                </c:pt>
                <c:pt idx="41">
                  <c:v>112.68637795127168</c:v>
                </c:pt>
                <c:pt idx="42">
                  <c:v>112.99807263130211</c:v>
                </c:pt>
                <c:pt idx="43">
                  <c:v>112.93909931872346</c:v>
                </c:pt>
                <c:pt idx="44">
                  <c:v>112.73692472151531</c:v>
                </c:pt>
                <c:pt idx="45">
                  <c:v>113.04860691777935</c:v>
                </c:pt>
                <c:pt idx="46">
                  <c:v>113.35187505547475</c:v>
                </c:pt>
                <c:pt idx="47">
                  <c:v>114.05105336148512</c:v>
                </c:pt>
                <c:pt idx="48">
                  <c:v>114.42169638656136</c:v>
                </c:pt>
                <c:pt idx="49">
                  <c:v>114.32904187217552</c:v>
                </c:pt>
                <c:pt idx="50">
                  <c:v>114.45540255590139</c:v>
                </c:pt>
                <c:pt idx="51">
                  <c:v>114.96083280703854</c:v>
                </c:pt>
                <c:pt idx="52">
                  <c:v>115.74425156886616</c:v>
                </c:pt>
                <c:pt idx="53">
                  <c:v>116.38446904606425</c:v>
                </c:pt>
                <c:pt idx="54">
                  <c:v>116.74669801257191</c:v>
                </c:pt>
                <c:pt idx="55">
                  <c:v>116.88147275486638</c:v>
                </c:pt>
                <c:pt idx="56">
                  <c:v>116.56136401626738</c:v>
                </c:pt>
                <c:pt idx="57">
                  <c:v>116.58663115950603</c:v>
                </c:pt>
                <c:pt idx="58">
                  <c:v>116.75512455490696</c:v>
                </c:pt>
                <c:pt idx="59">
                  <c:v>117.15103472322184</c:v>
                </c:pt>
                <c:pt idx="60">
                  <c:v>117.48799654649089</c:v>
                </c:pt>
                <c:pt idx="61">
                  <c:v>117.81457187609661</c:v>
                </c:pt>
                <c:pt idx="62">
                  <c:v>117.92717544922529</c:v>
                </c:pt>
                <c:pt idx="63">
                  <c:v>118.01727079149455</c:v>
                </c:pt>
                <c:pt idx="64">
                  <c:v>118.09610577645095</c:v>
                </c:pt>
                <c:pt idx="65">
                  <c:v>118.31006504916172</c:v>
                </c:pt>
                <c:pt idx="66">
                  <c:v>118.18620111872026</c:v>
                </c:pt>
                <c:pt idx="67">
                  <c:v>118.12988684838959</c:v>
                </c:pt>
                <c:pt idx="68">
                  <c:v>118.07358506182524</c:v>
                </c:pt>
                <c:pt idx="69">
                  <c:v>118.15240756301526</c:v>
                </c:pt>
                <c:pt idx="70">
                  <c:v>118.47898289262102</c:v>
                </c:pt>
                <c:pt idx="71">
                  <c:v>119.00825713762467</c:v>
                </c:pt>
                <c:pt idx="72">
                  <c:v>119.31231175260477</c:v>
                </c:pt>
                <c:pt idx="73">
                  <c:v>119.4361756830462</c:v>
                </c:pt>
                <c:pt idx="74">
                  <c:v>119.53753138262833</c:v>
                </c:pt>
                <c:pt idx="75">
                  <c:v>119.69518886877484</c:v>
                </c:pt>
                <c:pt idx="76">
                  <c:v>120.07807846871125</c:v>
                </c:pt>
                <c:pt idx="77">
                  <c:v>119.88662742685985</c:v>
                </c:pt>
                <c:pt idx="78">
                  <c:v>119.97672276912917</c:v>
                </c:pt>
                <c:pt idx="79">
                  <c:v>120.0105038410677</c:v>
                </c:pt>
                <c:pt idx="80">
                  <c:v>119.96546241181622</c:v>
                </c:pt>
                <c:pt idx="81">
                  <c:v>120.11185954064982</c:v>
                </c:pt>
                <c:pt idx="82">
                  <c:v>120.55103844338424</c:v>
                </c:pt>
                <c:pt idx="83">
                  <c:v>121.23797017453433</c:v>
                </c:pt>
                <c:pt idx="84">
                  <c:v>121.91365403213801</c:v>
                </c:pt>
                <c:pt idx="85">
                  <c:v>121.89112083374587</c:v>
                </c:pt>
                <c:pt idx="86">
                  <c:v>122.69066862179099</c:v>
                </c:pt>
                <c:pt idx="87">
                  <c:v>123.85057281138039</c:v>
                </c:pt>
                <c:pt idx="88">
                  <c:v>124.3460659844455</c:v>
                </c:pt>
                <c:pt idx="89">
                  <c:v>125.10057234323915</c:v>
                </c:pt>
                <c:pt idx="90">
                  <c:v>125.90015758258357</c:v>
                </c:pt>
                <c:pt idx="91">
                  <c:v>125.6411194293221</c:v>
                </c:pt>
                <c:pt idx="92">
                  <c:v>127.1050907176581</c:v>
                </c:pt>
                <c:pt idx="93">
                  <c:v>126.96989152730518</c:v>
                </c:pt>
                <c:pt idx="94">
                  <c:v>127.08249510043379</c:v>
                </c:pt>
                <c:pt idx="95">
                  <c:v>127.91591134678244</c:v>
                </c:pt>
                <c:pt idx="96">
                  <c:v>128.35509024951682</c:v>
                </c:pt>
                <c:pt idx="97">
                  <c:v>128.55770177854978</c:v>
                </c:pt>
                <c:pt idx="98">
                  <c:v>128.78290892480697</c:v>
                </c:pt>
                <c:pt idx="99">
                  <c:v>129.21085243776125</c:v>
                </c:pt>
                <c:pt idx="100">
                  <c:v>129.32345601088991</c:v>
                </c:pt>
                <c:pt idx="101">
                  <c:v>129.50372159802703</c:v>
                </c:pt>
                <c:pt idx="102">
                  <c:v>129.7739951410685</c:v>
                </c:pt>
                <c:pt idx="103">
                  <c:v>129.75139952384421</c:v>
                </c:pt>
                <c:pt idx="104">
                  <c:v>129.99920228732569</c:v>
                </c:pt>
                <c:pt idx="105">
                  <c:v>130.22440943358285</c:v>
                </c:pt>
                <c:pt idx="106">
                  <c:v>130.71989012288151</c:v>
                </c:pt>
                <c:pt idx="107">
                  <c:v>131.26043720896448</c:v>
                </c:pt>
                <c:pt idx="108">
                  <c:v>131.31673899552874</c:v>
                </c:pt>
                <c:pt idx="109">
                  <c:v>131.80360588599603</c:v>
                </c:pt>
                <c:pt idx="110">
                  <c:v>132.49021303921919</c:v>
                </c:pt>
                <c:pt idx="111">
                  <c:v>132.8272747326196</c:v>
                </c:pt>
                <c:pt idx="112">
                  <c:v>132.78982343335286</c:v>
                </c:pt>
                <c:pt idx="113">
                  <c:v>132.67746953555275</c:v>
                </c:pt>
                <c:pt idx="114">
                  <c:v>132.44027797353024</c:v>
                </c:pt>
                <c:pt idx="115">
                  <c:v>132.40282667426351</c:v>
                </c:pt>
                <c:pt idx="116">
                  <c:v>132.24053771077439</c:v>
                </c:pt>
                <c:pt idx="117">
                  <c:v>132.34040784215227</c:v>
                </c:pt>
                <c:pt idx="118">
                  <c:v>132.73988836766389</c:v>
                </c:pt>
                <c:pt idx="119">
                  <c:v>133.32662538950919</c:v>
                </c:pt>
                <c:pt idx="120">
                  <c:v>132.31544030930783</c:v>
                </c:pt>
                <c:pt idx="121">
                  <c:v>131.67876822177365</c:v>
                </c:pt>
                <c:pt idx="122">
                  <c:v>133.85094357924322</c:v>
                </c:pt>
                <c:pt idx="123">
                  <c:v>135.41141438202303</c:v>
                </c:pt>
                <c:pt idx="124">
                  <c:v>134.91206372513349</c:v>
                </c:pt>
                <c:pt idx="125">
                  <c:v>135.16173905357823</c:v>
                </c:pt>
                <c:pt idx="126">
                  <c:v>135.57370334551214</c:v>
                </c:pt>
                <c:pt idx="127">
                  <c:v>135.46134944771197</c:v>
                </c:pt>
                <c:pt idx="128">
                  <c:v>135.7484760754235</c:v>
                </c:pt>
              </c:numCache>
            </c:numRef>
          </c:val>
          <c:smooth val="0"/>
          <c:extLst>
            <c:ext xmlns:c16="http://schemas.microsoft.com/office/drawing/2014/chart" uri="{C3380CC4-5D6E-409C-BE32-E72D297353CC}">
              <c16:uniqueId val="{00000003-2F83-4326-BA2A-BA77AD5BB4A4}"/>
            </c:ext>
          </c:extLst>
        </c:ser>
        <c:dLbls>
          <c:showLegendKey val="0"/>
          <c:showVal val="0"/>
          <c:showCatName val="0"/>
          <c:showSerName val="0"/>
          <c:showPercent val="0"/>
          <c:showBubbleSize val="0"/>
        </c:dLbls>
        <c:smooth val="0"/>
        <c:axId val="1812964160"/>
        <c:axId val="1812957920"/>
      </c:lineChart>
      <c:catAx>
        <c:axId val="18129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12957920"/>
        <c:crosses val="autoZero"/>
        <c:auto val="1"/>
        <c:lblAlgn val="ctr"/>
        <c:lblOffset val="100"/>
        <c:noMultiLvlLbl val="0"/>
      </c:catAx>
      <c:valAx>
        <c:axId val="1812957920"/>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1296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Log(CPI)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'Log(CPI)'!$B$2</c:f>
              <c:strCache>
                <c:ptCount val="1"/>
                <c:pt idx="0">
                  <c:v>Thailand</c:v>
                </c:pt>
              </c:strCache>
            </c:strRef>
          </c:tx>
          <c:spPr>
            <a:ln w="28575" cap="rnd">
              <a:solidFill>
                <a:schemeClr val="accent1"/>
              </a:solidFill>
              <a:round/>
            </a:ln>
            <a:effectLst/>
          </c:spPr>
          <c:marker>
            <c:symbol val="none"/>
          </c:marker>
          <c:cat>
            <c:strRef>
              <c:f>'Log(CPI)'!$A$3:$A$131</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'Log(CPI)'!$B$3:$B$131</c:f>
              <c:numCache>
                <c:formatCode>General</c:formatCode>
                <c:ptCount val="129"/>
                <c:pt idx="0">
                  <c:v>2</c:v>
                </c:pt>
                <c:pt idx="1">
                  <c:v>2.00053219861161</c:v>
                </c:pt>
                <c:pt idx="2">
                  <c:v>2.0012680139866355</c:v>
                </c:pt>
                <c:pt idx="3">
                  <c:v>2.00134969434834</c:v>
                </c:pt>
                <c:pt idx="4">
                  <c:v>2.0020841271308698</c:v>
                </c:pt>
                <c:pt idx="5">
                  <c:v>2.0025323365153951</c:v>
                </c:pt>
                <c:pt idx="6">
                  <c:v>2.0022471658871361</c:v>
                </c:pt>
                <c:pt idx="7">
                  <c:v>2.0012680139866355</c:v>
                </c:pt>
                <c:pt idx="8">
                  <c:v>2.0010637458478318</c:v>
                </c:pt>
                <c:pt idx="9">
                  <c:v>2.001921027145138</c:v>
                </c:pt>
                <c:pt idx="10">
                  <c:v>2.00053219861161</c:v>
                </c:pt>
                <c:pt idx="11">
                  <c:v>1.9988515061786849</c:v>
                </c:pt>
                <c:pt idx="12">
                  <c:v>1.9976999671050377</c:v>
                </c:pt>
                <c:pt idx="13">
                  <c:v>1.9983583632620683</c:v>
                </c:pt>
                <c:pt idx="14">
                  <c:v>1.9992620312890368</c:v>
                </c:pt>
                <c:pt idx="15">
                  <c:v>2.0016354546982957</c:v>
                </c:pt>
                <c:pt idx="16">
                  <c:v>2.0040771467478282</c:v>
                </c:pt>
                <c:pt idx="17">
                  <c:v>2.0041988717400492</c:v>
                </c:pt>
                <c:pt idx="18">
                  <c:v>2.0026952071274309</c:v>
                </c:pt>
                <c:pt idx="19">
                  <c:v>2.0025323365153951</c:v>
                </c:pt>
                <c:pt idx="20">
                  <c:v>2.0026952071274309</c:v>
                </c:pt>
                <c:pt idx="21">
                  <c:v>2.0033867266096803</c:v>
                </c:pt>
                <c:pt idx="22">
                  <c:v>2.0031427866209208</c:v>
                </c:pt>
                <c:pt idx="23">
                  <c:v>2.0037117669331348</c:v>
                </c:pt>
                <c:pt idx="24">
                  <c:v>2.0043874449197965</c:v>
                </c:pt>
                <c:pt idx="25">
                  <c:v>2.004559835308843</c:v>
                </c:pt>
                <c:pt idx="26">
                  <c:v>2.0025732023530476</c:v>
                </c:pt>
                <c:pt idx="27">
                  <c:v>2.0032652363318109</c:v>
                </c:pt>
                <c:pt idx="28">
                  <c:v>2.0039130182078426</c:v>
                </c:pt>
                <c:pt idx="29">
                  <c:v>2.0039993161677701</c:v>
                </c:pt>
                <c:pt idx="30">
                  <c:v>2.003438072661583</c:v>
                </c:pt>
                <c:pt idx="31">
                  <c:v>2.0039130182078426</c:v>
                </c:pt>
                <c:pt idx="32">
                  <c:v>2.0064087230794181</c:v>
                </c:pt>
                <c:pt idx="33">
                  <c:v>2.0070946769940323</c:v>
                </c:pt>
                <c:pt idx="34">
                  <c:v>2.0073944414760136</c:v>
                </c:pt>
                <c:pt idx="35">
                  <c:v>2.007051836601208</c:v>
                </c:pt>
                <c:pt idx="36">
                  <c:v>2.0073516306443069</c:v>
                </c:pt>
                <c:pt idx="37">
                  <c:v>2.0063658149647852</c:v>
                </c:pt>
                <c:pt idx="38">
                  <c:v>2.0059794510449591</c:v>
                </c:pt>
                <c:pt idx="39">
                  <c:v>2.0079078425586419</c:v>
                </c:pt>
                <c:pt idx="40">
                  <c:v>2.0103382436261708</c:v>
                </c:pt>
                <c:pt idx="41">
                  <c:v>2.0099553991587387</c:v>
                </c:pt>
                <c:pt idx="42">
                  <c:v>2.0097247639457017</c:v>
                </c:pt>
                <c:pt idx="43">
                  <c:v>2.0108906460552025</c:v>
                </c:pt>
                <c:pt idx="44">
                  <c:v>2.0121627456229061</c:v>
                </c:pt>
                <c:pt idx="45">
                  <c:v>2.0124167190113744</c:v>
                </c:pt>
                <c:pt idx="46">
                  <c:v>2.0114423467464611</c:v>
                </c:pt>
                <c:pt idx="47">
                  <c:v>2.0085914346043978</c:v>
                </c:pt>
                <c:pt idx="48">
                  <c:v>2.0085060444189278</c:v>
                </c:pt>
                <c:pt idx="49">
                  <c:v>2.0095296202208077</c:v>
                </c:pt>
                <c:pt idx="50">
                  <c:v>2.0113150933934278</c:v>
                </c:pt>
                <c:pt idx="51">
                  <c:v>2.0132199896376641</c:v>
                </c:pt>
                <c:pt idx="52">
                  <c:v>2.0152847516516554</c:v>
                </c:pt>
                <c:pt idx="53">
                  <c:v>2.0137265540207996</c:v>
                </c:pt>
                <c:pt idx="54">
                  <c:v>2.0139796148118214</c:v>
                </c:pt>
                <c:pt idx="55">
                  <c:v>2.0131355047659061</c:v>
                </c:pt>
                <c:pt idx="56">
                  <c:v>2.0135577648690823</c:v>
                </c:pt>
                <c:pt idx="57">
                  <c:v>2.0128819514949674</c:v>
                </c:pt>
                <c:pt idx="58">
                  <c:v>2.0123320777166409</c:v>
                </c:pt>
                <c:pt idx="59">
                  <c:v>2.0123744004260149</c:v>
                </c:pt>
                <c:pt idx="60">
                  <c:v>2.0130510034558036</c:v>
                </c:pt>
                <c:pt idx="61">
                  <c:v>2.0127128337039277</c:v>
                </c:pt>
                <c:pt idx="62">
                  <c:v>2.0089754828079687</c:v>
                </c:pt>
                <c:pt idx="63">
                  <c:v>2.0000552944654348</c:v>
                </c:pt>
                <c:pt idx="64">
                  <c:v>2.0000988305771354</c:v>
                </c:pt>
                <c:pt idx="65">
                  <c:v>2.0068375712251596</c:v>
                </c:pt>
                <c:pt idx="66">
                  <c:v>2.009699981890896</c:v>
                </c:pt>
                <c:pt idx="67">
                  <c:v>2.010975568715212</c:v>
                </c:pt>
                <c:pt idx="68">
                  <c:v>2.0105082884528938</c:v>
                </c:pt>
                <c:pt idx="69">
                  <c:v>2.0107207509011915</c:v>
                </c:pt>
                <c:pt idx="70">
                  <c:v>2.0105507892585162</c:v>
                </c:pt>
                <c:pt idx="71">
                  <c:v>2.0111878027427479</c:v>
                </c:pt>
                <c:pt idx="72">
                  <c:v>2.0115881010169918</c:v>
                </c:pt>
                <c:pt idx="73">
                  <c:v>2.0076095361358441</c:v>
                </c:pt>
                <c:pt idx="74">
                  <c:v>2.0086185545283914</c:v>
                </c:pt>
                <c:pt idx="75">
                  <c:v>2.0145807047842244</c:v>
                </c:pt>
                <c:pt idx="76">
                  <c:v>2.0105423427545315</c:v>
                </c:pt>
                <c:pt idx="77">
                  <c:v>2.0121969658019427</c:v>
                </c:pt>
                <c:pt idx="78">
                  <c:v>2.0116751339795882</c:v>
                </c:pt>
                <c:pt idx="79">
                  <c:v>2.0108912087091513</c:v>
                </c:pt>
                <c:pt idx="80">
                  <c:v>2.0177245032492395</c:v>
                </c:pt>
                <c:pt idx="81">
                  <c:v>2.0209309051883335</c:v>
                </c:pt>
                <c:pt idx="82">
                  <c:v>2.0221643950704831</c:v>
                </c:pt>
                <c:pt idx="83">
                  <c:v>2.0205047502312627</c:v>
                </c:pt>
                <c:pt idx="84">
                  <c:v>1.9922770111207893</c:v>
                </c:pt>
                <c:pt idx="85">
                  <c:v>1.9970733940127356</c:v>
                </c:pt>
                <c:pt idx="86">
                  <c:v>2.0000332811209427</c:v>
                </c:pt>
                <c:pt idx="87">
                  <c:v>2.0015502348293239</c:v>
                </c:pt>
                <c:pt idx="88">
                  <c:v>2.0077412802539185</c:v>
                </c:pt>
                <c:pt idx="89">
                  <c:v>2.0116751339795882</c:v>
                </c:pt>
                <c:pt idx="90">
                  <c:v>2.0109783814276097</c:v>
                </c:pt>
                <c:pt idx="91">
                  <c:v>2.0111962367027592</c:v>
                </c:pt>
                <c:pt idx="92">
                  <c:v>2.0121535037571823</c:v>
                </c:pt>
                <c:pt idx="93">
                  <c:v>2.0135854596833234</c:v>
                </c:pt>
                <c:pt idx="94">
                  <c:v>2.0130219193272891</c:v>
                </c:pt>
                <c:pt idx="95">
                  <c:v>2.0127615769384937</c:v>
                </c:pt>
                <c:pt idx="96">
                  <c:v>2.0140617310336766</c:v>
                </c:pt>
                <c:pt idx="97">
                  <c:v>2.0461258496103634</c:v>
                </c:pt>
                <c:pt idx="98">
                  <c:v>2.0449586611060329</c:v>
                </c:pt>
                <c:pt idx="99">
                  <c:v>2.0457639542755826</c:v>
                </c:pt>
                <c:pt idx="100">
                  <c:v>2.0426553493132058</c:v>
                </c:pt>
                <c:pt idx="101">
                  <c:v>2.0452406836005967</c:v>
                </c:pt>
                <c:pt idx="102">
                  <c:v>2.0452004058837208</c:v>
                </c:pt>
                <c:pt idx="103">
                  <c:v>2.0475704228122082</c:v>
                </c:pt>
                <c:pt idx="104">
                  <c:v>2.0460052513362781</c:v>
                </c:pt>
                <c:pt idx="105">
                  <c:v>2.0447974231305763</c:v>
                </c:pt>
                <c:pt idx="106">
                  <c:v>2.0437074982185655</c:v>
                </c:pt>
                <c:pt idx="107">
                  <c:v>2.0417224726450316</c:v>
                </c:pt>
                <c:pt idx="108">
                  <c:v>2.0418036719501016</c:v>
                </c:pt>
                <c:pt idx="109">
                  <c:v>2.0427768812803913</c:v>
                </c:pt>
                <c:pt idx="110">
                  <c:v>2.0428983792478652</c:v>
                </c:pt>
                <c:pt idx="111">
                  <c:v>2.0513198657647593</c:v>
                </c:pt>
                <c:pt idx="112">
                  <c:v>2.0548796765309794</c:v>
                </c:pt>
                <c:pt idx="113">
                  <c:v>2.0529847425973733</c:v>
                </c:pt>
                <c:pt idx="114">
                  <c:v>2.0539332430713686</c:v>
                </c:pt>
                <c:pt idx="115">
                  <c:v>2.0545250056399706</c:v>
                </c:pt>
                <c:pt idx="116">
                  <c:v>2.0486507081369565</c:v>
                </c:pt>
                <c:pt idx="117">
                  <c:v>2.0457762893327827</c:v>
                </c:pt>
                <c:pt idx="118">
                  <c:v>2.0452157145377057</c:v>
                </c:pt>
                <c:pt idx="119">
                  <c:v>2.0444383375725619</c:v>
                </c:pt>
                <c:pt idx="120">
                  <c:v>2.044870385441365</c:v>
                </c:pt>
                <c:pt idx="121">
                  <c:v>2.0447840102457935</c:v>
                </c:pt>
                <c:pt idx="122">
                  <c:v>2.0439193121365369</c:v>
                </c:pt>
              </c:numCache>
            </c:numRef>
          </c:val>
          <c:smooth val="0"/>
          <c:extLst>
            <c:ext xmlns:c16="http://schemas.microsoft.com/office/drawing/2014/chart" uri="{C3380CC4-5D6E-409C-BE32-E72D297353CC}">
              <c16:uniqueId val="{00000000-7D17-4044-BC1F-D5EB1185F654}"/>
            </c:ext>
          </c:extLst>
        </c:ser>
        <c:ser>
          <c:idx val="1"/>
          <c:order val="1"/>
          <c:tx>
            <c:strRef>
              <c:f>'Log(CPI)'!$C$2</c:f>
              <c:strCache>
                <c:ptCount val="1"/>
                <c:pt idx="0">
                  <c:v>Philippines</c:v>
                </c:pt>
              </c:strCache>
            </c:strRef>
          </c:tx>
          <c:spPr>
            <a:ln w="28575" cap="rnd">
              <a:solidFill>
                <a:schemeClr val="accent2"/>
              </a:solidFill>
              <a:round/>
            </a:ln>
            <a:effectLst/>
          </c:spPr>
          <c:marker>
            <c:symbol val="none"/>
          </c:marker>
          <c:cat>
            <c:strRef>
              <c:f>'Log(CPI)'!$A$3:$A$131</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'Log(CPI)'!$C$3:$C$131</c:f>
              <c:numCache>
                <c:formatCode>General</c:formatCode>
                <c:ptCount val="129"/>
                <c:pt idx="0">
                  <c:v>2</c:v>
                </c:pt>
                <c:pt idx="1">
                  <c:v>2.0004064525162404</c:v>
                </c:pt>
                <c:pt idx="2">
                  <c:v>2</c:v>
                </c:pt>
                <c:pt idx="3">
                  <c:v>2.0008125249926723</c:v>
                </c:pt>
                <c:pt idx="4">
                  <c:v>2.0004064525162404</c:v>
                </c:pt>
                <c:pt idx="5">
                  <c:v>2.0004064525162404</c:v>
                </c:pt>
                <c:pt idx="6">
                  <c:v>2.0012182181393183</c:v>
                </c:pt>
                <c:pt idx="7">
                  <c:v>2.0012182181393183</c:v>
                </c:pt>
                <c:pt idx="8">
                  <c:v>2.0004064525162404</c:v>
                </c:pt>
                <c:pt idx="9">
                  <c:v>2.0008125249926723</c:v>
                </c:pt>
                <c:pt idx="10">
                  <c:v>2.0020284692734132</c:v>
                </c:pt>
                <c:pt idx="11">
                  <c:v>2.0028372115590867</c:v>
                </c:pt>
                <c:pt idx="12">
                  <c:v>2.0032410186378327</c:v>
                </c:pt>
                <c:pt idx="13">
                  <c:v>2.0024330286709993</c:v>
                </c:pt>
                <c:pt idx="14">
                  <c:v>2.0024330286709993</c:v>
                </c:pt>
                <c:pt idx="15">
                  <c:v>2.003644450605444</c:v>
                </c:pt>
                <c:pt idx="16">
                  <c:v>2.0044501919903732</c:v>
                </c:pt>
                <c:pt idx="17">
                  <c:v>2.0060572039327829</c:v>
                </c:pt>
                <c:pt idx="18">
                  <c:v>2.0068584854920104</c:v>
                </c:pt>
                <c:pt idx="19">
                  <c:v>2.0068584854920104</c:v>
                </c:pt>
                <c:pt idx="20">
                  <c:v>2.0076582913937568</c:v>
                </c:pt>
                <c:pt idx="21">
                  <c:v>2.0084566270632371</c:v>
                </c:pt>
                <c:pt idx="22">
                  <c:v>2.0108428664835998</c:v>
                </c:pt>
                <c:pt idx="23">
                  <c:v>2.012426439730953</c:v>
                </c:pt>
                <c:pt idx="24">
                  <c:v>2.0140042597476531</c:v>
                </c:pt>
                <c:pt idx="25">
                  <c:v>2.0155763681861854</c:v>
                </c:pt>
                <c:pt idx="26">
                  <c:v>2.0155763681861854</c:v>
                </c:pt>
                <c:pt idx="27">
                  <c:v>2.0171428062483301</c:v>
                </c:pt>
                <c:pt idx="28">
                  <c:v>2.0167517260941201</c:v>
                </c:pt>
                <c:pt idx="29">
                  <c:v>2.0167517260941201</c:v>
                </c:pt>
                <c:pt idx="30">
                  <c:v>2.0171428062483301</c:v>
                </c:pt>
                <c:pt idx="31">
                  <c:v>2.0179239116421708</c:v>
                </c:pt>
                <c:pt idx="32">
                  <c:v>2.020646769977644</c:v>
                </c:pt>
                <c:pt idx="33">
                  <c:v>2.0218085035689204</c:v>
                </c:pt>
                <c:pt idx="34">
                  <c:v>2.023737846954786</c:v>
                </c:pt>
                <c:pt idx="35">
                  <c:v>2.0248913522329177</c:v>
                </c:pt>
                <c:pt idx="36">
                  <c:v>2.0287143917256767</c:v>
                </c:pt>
                <c:pt idx="37">
                  <c:v>2.0318308186025402</c:v>
                </c:pt>
                <c:pt idx="38">
                  <c:v>2.0340432252307439</c:v>
                </c:pt>
                <c:pt idx="39">
                  <c:v>2.0358050713870304</c:v>
                </c:pt>
                <c:pt idx="40">
                  <c:v>2.0366833213969522</c:v>
                </c:pt>
                <c:pt idx="41">
                  <c:v>2.0384345111967157</c:v>
                </c:pt>
                <c:pt idx="42">
                  <c:v>2.0419158483306292</c:v>
                </c:pt>
                <c:pt idx="43">
                  <c:v>2.0457992823904037</c:v>
                </c:pt>
                <c:pt idx="44">
                  <c:v>2.0500738688863125</c:v>
                </c:pt>
                <c:pt idx="45">
                  <c:v>2.0509237605115627</c:v>
                </c:pt>
                <c:pt idx="46">
                  <c:v>2.04964829856132</c:v>
                </c:pt>
                <c:pt idx="47">
                  <c:v>2.0470860817967198</c:v>
                </c:pt>
                <c:pt idx="48">
                  <c:v>2.0475141690486343</c:v>
                </c:pt>
                <c:pt idx="49">
                  <c:v>2.0479418347473031</c:v>
                </c:pt>
                <c:pt idx="50">
                  <c:v>2.0483690797221472</c:v>
                </c:pt>
                <c:pt idx="51">
                  <c:v>2.04964829856132</c:v>
                </c:pt>
                <c:pt idx="52">
                  <c:v>2.0504990225980961</c:v>
                </c:pt>
                <c:pt idx="53">
                  <c:v>2.0500738688863125</c:v>
                </c:pt>
                <c:pt idx="54">
                  <c:v>2.0513480834392142</c:v>
                </c:pt>
                <c:pt idx="55">
                  <c:v>2.0517719921911755</c:v>
                </c:pt>
                <c:pt idx="56">
                  <c:v>2.0521954875751995</c:v>
                </c:pt>
                <c:pt idx="57">
                  <c:v>2.0534635015618354</c:v>
                </c:pt>
                <c:pt idx="58">
                  <c:v>2.0547278240905951</c:v>
                </c:pt>
                <c:pt idx="59">
                  <c:v>2.0572454803118414</c:v>
                </c:pt>
                <c:pt idx="60">
                  <c:v>2.0601644172464755</c:v>
                </c:pt>
                <c:pt idx="61">
                  <c:v>2.0584988563099387</c:v>
                </c:pt>
                <c:pt idx="62">
                  <c:v>2.0576636743565797</c:v>
                </c:pt>
                <c:pt idx="63">
                  <c:v>2.0572454803118414</c:v>
                </c:pt>
                <c:pt idx="64">
                  <c:v>2.0572454803118414</c:v>
                </c:pt>
                <c:pt idx="65">
                  <c:v>2.0597486254656454</c:v>
                </c:pt>
                <c:pt idx="66">
                  <c:v>2.0618236149929605</c:v>
                </c:pt>
                <c:pt idx="67">
                  <c:v>2.0614094094471103</c:v>
                </c:pt>
                <c:pt idx="68">
                  <c:v>2.0618236149929605</c:v>
                </c:pt>
                <c:pt idx="69">
                  <c:v>2.063476497984889</c:v>
                </c:pt>
                <c:pt idx="70">
                  <c:v>2.0675813913226992</c:v>
                </c:pt>
                <c:pt idx="71">
                  <c:v>2.0712429121561535</c:v>
                </c:pt>
                <c:pt idx="72">
                  <c:v>2.0760774090017708</c:v>
                </c:pt>
                <c:pt idx="73">
                  <c:v>2.0764778649839508</c:v>
                </c:pt>
                <c:pt idx="74">
                  <c:v>2.075275387569953</c:v>
                </c:pt>
                <c:pt idx="75">
                  <c:v>2.0748738207527131</c:v>
                </c:pt>
                <c:pt idx="76">
                  <c:v>2.0748738207527131</c:v>
                </c:pt>
                <c:pt idx="77">
                  <c:v>2.0756765834247228</c:v>
                </c:pt>
                <c:pt idx="78">
                  <c:v>2.0776770221615637</c:v>
                </c:pt>
                <c:pt idx="79">
                  <c:v>2.0800654487968142</c:v>
                </c:pt>
                <c:pt idx="80">
                  <c:v>2.0796682887491054</c:v>
                </c:pt>
                <c:pt idx="81">
                  <c:v>2.0804622459755393</c:v>
                </c:pt>
                <c:pt idx="82">
                  <c:v>2.0832297213151687</c:v>
                </c:pt>
                <c:pt idx="83">
                  <c:v>2.0844104048205319</c:v>
                </c:pt>
                <c:pt idx="84">
                  <c:v>2.0891012999150118</c:v>
                </c:pt>
                <c:pt idx="85">
                  <c:v>2.0894899303498069</c:v>
                </c:pt>
                <c:pt idx="86">
                  <c:v>2.0922006492467835</c:v>
                </c:pt>
                <c:pt idx="87">
                  <c:v>2.0956611813562902</c:v>
                </c:pt>
                <c:pt idx="88">
                  <c:v>2.0975718508785026</c:v>
                </c:pt>
                <c:pt idx="89">
                  <c:v>2.1013681554876875</c:v>
                </c:pt>
                <c:pt idx="90">
                  <c:v>2.1047566861908198</c:v>
                </c:pt>
                <c:pt idx="91">
                  <c:v>2.1066278415278505</c:v>
                </c:pt>
                <c:pt idx="92">
                  <c:v>2.108490969575783</c:v>
                </c:pt>
                <c:pt idx="93">
                  <c:v>2.1125619318944917</c:v>
                </c:pt>
                <c:pt idx="94">
                  <c:v>2.1165950881919335</c:v>
                </c:pt>
                <c:pt idx="95">
                  <c:v>2.1180524535927527</c:v>
                </c:pt>
                <c:pt idx="96">
                  <c:v>2.1252668135386412</c:v>
                </c:pt>
                <c:pt idx="97">
                  <c:v>2.1252668135386412</c:v>
                </c:pt>
                <c:pt idx="98">
                  <c:v>2.1241922699424549</c:v>
                </c:pt>
                <c:pt idx="99">
                  <c:v>2.1234744276601742</c:v>
                </c:pt>
                <c:pt idx="100">
                  <c:v>2.1234744276601742</c:v>
                </c:pt>
                <c:pt idx="101">
                  <c:v>2.1241922699424549</c:v>
                </c:pt>
                <c:pt idx="102">
                  <c:v>2.1245507466296698</c:v>
                </c:pt>
                <c:pt idx="103">
                  <c:v>2.1291842154999538</c:v>
                </c:pt>
                <c:pt idx="104">
                  <c:v>2.1341194331754658</c:v>
                </c:pt>
                <c:pt idx="105">
                  <c:v>2.1334178264285231</c:v>
                </c:pt>
                <c:pt idx="106">
                  <c:v>2.1341194331754658</c:v>
                </c:pt>
                <c:pt idx="107">
                  <c:v>2.1348199082981321</c:v>
                </c:pt>
                <c:pt idx="108">
                  <c:v>2.1372627121458079</c:v>
                </c:pt>
                <c:pt idx="109">
                  <c:v>2.1396918526164592</c:v>
                </c:pt>
                <c:pt idx="110">
                  <c:v>2.1400377662005798</c:v>
                </c:pt>
                <c:pt idx="111">
                  <c:v>2.1396918526164592</c:v>
                </c:pt>
                <c:pt idx="112">
                  <c:v>2.1400377662005798</c:v>
                </c:pt>
                <c:pt idx="113">
                  <c:v>2.1400377662005798</c:v>
                </c:pt>
                <c:pt idx="114">
                  <c:v>2.1431386523112392</c:v>
                </c:pt>
                <c:pt idx="115">
                  <c:v>2.1434818324807385</c:v>
                </c:pt>
                <c:pt idx="116">
                  <c:v>2.1424514773547334</c:v>
                </c:pt>
                <c:pt idx="117">
                  <c:v>2.1431386523112392</c:v>
                </c:pt>
                <c:pt idx="118">
                  <c:v>2.1448518477553593</c:v>
                </c:pt>
                <c:pt idx="119">
                  <c:v>2.1472390240628179</c:v>
                </c:pt>
                <c:pt idx="120">
                  <c:v>2.1496131505322369</c:v>
                </c:pt>
                <c:pt idx="121">
                  <c:v>2.1485972565440887</c:v>
                </c:pt>
                <c:pt idx="122">
                  <c:v>2.147578980621784</c:v>
                </c:pt>
                <c:pt idx="123">
                  <c:v>2.1458765304530578</c:v>
                </c:pt>
                <c:pt idx="124">
                  <c:v>2.1455352381117976</c:v>
                </c:pt>
                <c:pt idx="125">
                  <c:v>2.1458765304530578</c:v>
                </c:pt>
                <c:pt idx="126">
                  <c:v>2.1472390240628179</c:v>
                </c:pt>
                <c:pt idx="127">
                  <c:v>2.1499512544667159</c:v>
                </c:pt>
                <c:pt idx="128">
                  <c:v>2.1499512544667159</c:v>
                </c:pt>
              </c:numCache>
            </c:numRef>
          </c:val>
          <c:smooth val="0"/>
          <c:extLst>
            <c:ext xmlns:c16="http://schemas.microsoft.com/office/drawing/2014/chart" uri="{C3380CC4-5D6E-409C-BE32-E72D297353CC}">
              <c16:uniqueId val="{00000001-7D17-4044-BC1F-D5EB1185F654}"/>
            </c:ext>
          </c:extLst>
        </c:ser>
        <c:ser>
          <c:idx val="2"/>
          <c:order val="2"/>
          <c:tx>
            <c:strRef>
              <c:f>'Log(CPI)'!$D$2</c:f>
              <c:strCache>
                <c:ptCount val="1"/>
                <c:pt idx="0">
                  <c:v>Korea</c:v>
                </c:pt>
              </c:strCache>
            </c:strRef>
          </c:tx>
          <c:spPr>
            <a:ln w="28575" cap="rnd">
              <a:solidFill>
                <a:schemeClr val="accent3"/>
              </a:solidFill>
              <a:round/>
            </a:ln>
            <a:effectLst/>
          </c:spPr>
          <c:marker>
            <c:symbol val="none"/>
          </c:marker>
          <c:cat>
            <c:strRef>
              <c:f>'Log(CPI)'!$A$3:$A$131</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'Log(CPI)'!$D$3:$D$131</c:f>
              <c:numCache>
                <c:formatCode>General</c:formatCode>
                <c:ptCount val="129"/>
                <c:pt idx="0">
                  <c:v>2</c:v>
                </c:pt>
                <c:pt idx="1">
                  <c:v>1.9997429531078943</c:v>
                </c:pt>
                <c:pt idx="2">
                  <c:v>1.9997842744775742</c:v>
                </c:pt>
                <c:pt idx="3">
                  <c:v>1.9999173943751947</c:v>
                </c:pt>
                <c:pt idx="4">
                  <c:v>2.0011319485024508</c:v>
                </c:pt>
                <c:pt idx="5">
                  <c:v>2.0012188993840012</c:v>
                </c:pt>
                <c:pt idx="6">
                  <c:v>2.0020006749232082</c:v>
                </c:pt>
                <c:pt idx="7">
                  <c:v>2.0026077511214755</c:v>
                </c:pt>
                <c:pt idx="8">
                  <c:v>2.0014796476258669</c:v>
                </c:pt>
                <c:pt idx="9">
                  <c:v>2.0014796476258669</c:v>
                </c:pt>
                <c:pt idx="10">
                  <c:v>2.0006556981529688</c:v>
                </c:pt>
                <c:pt idx="11">
                  <c:v>2.0019549957770284</c:v>
                </c:pt>
                <c:pt idx="12">
                  <c:v>2.0026944070608126</c:v>
                </c:pt>
                <c:pt idx="13">
                  <c:v>2.0045510693108026</c:v>
                </c:pt>
                <c:pt idx="14">
                  <c:v>2.0034280089305798</c:v>
                </c:pt>
                <c:pt idx="15">
                  <c:v>2.0042467204278465</c:v>
                </c:pt>
                <c:pt idx="16">
                  <c:v>2.0045056576432856</c:v>
                </c:pt>
                <c:pt idx="17">
                  <c:v>2.0044193623908733</c:v>
                </c:pt>
                <c:pt idx="18">
                  <c:v>2.0036009765921996</c:v>
                </c:pt>
                <c:pt idx="19">
                  <c:v>2.0047190512050488</c:v>
                </c:pt>
                <c:pt idx="20">
                  <c:v>2.0072987033852576</c:v>
                </c:pt>
                <c:pt idx="21">
                  <c:v>2.0078939177445299</c:v>
                </c:pt>
                <c:pt idx="22">
                  <c:v>2.0072535781299332</c:v>
                </c:pt>
                <c:pt idx="23">
                  <c:v>2.0077271596223967</c:v>
                </c:pt>
                <c:pt idx="24">
                  <c:v>2.0123188305093902</c:v>
                </c:pt>
                <c:pt idx="25">
                  <c:v>2.0135036878293784</c:v>
                </c:pt>
                <c:pt idx="26">
                  <c:v>2.0132055507531912</c:v>
                </c:pt>
                <c:pt idx="27">
                  <c:v>2.0126576911547351</c:v>
                </c:pt>
                <c:pt idx="28">
                  <c:v>2.0131209671553192</c:v>
                </c:pt>
                <c:pt idx="29">
                  <c:v>2.0121939204348451</c:v>
                </c:pt>
                <c:pt idx="30">
                  <c:v>2.0129116632403807</c:v>
                </c:pt>
                <c:pt idx="31">
                  <c:v>2.015394532957302</c:v>
                </c:pt>
                <c:pt idx="32">
                  <c:v>2.0158991405759825</c:v>
                </c:pt>
                <c:pt idx="33">
                  <c:v>2.0154786749531923</c:v>
                </c:pt>
                <c:pt idx="34">
                  <c:v>2.0122340740197635</c:v>
                </c:pt>
                <c:pt idx="35">
                  <c:v>2.0137971751267365</c:v>
                </c:pt>
                <c:pt idx="36">
                  <c:v>2.0156070707883762</c:v>
                </c:pt>
                <c:pt idx="37">
                  <c:v>2.0189101423098066</c:v>
                </c:pt>
                <c:pt idx="38">
                  <c:v>2.0184530040620996</c:v>
                </c:pt>
                <c:pt idx="39">
                  <c:v>2.0192439008392187</c:v>
                </c:pt>
                <c:pt idx="40">
                  <c:v>2.0194545636206858</c:v>
                </c:pt>
                <c:pt idx="41">
                  <c:v>2.0185761270872074</c:v>
                </c:pt>
                <c:pt idx="42">
                  <c:v>2.0177443684810514</c:v>
                </c:pt>
                <c:pt idx="43">
                  <c:v>2.0215686897235661</c:v>
                </c:pt>
                <c:pt idx="44">
                  <c:v>2.0248702336632181</c:v>
                </c:pt>
                <c:pt idx="45">
                  <c:v>2.024089526112169</c:v>
                </c:pt>
                <c:pt idx="46">
                  <c:v>2.0209919373387963</c:v>
                </c:pt>
                <c:pt idx="47">
                  <c:v>2.0194940515185658</c:v>
                </c:pt>
                <c:pt idx="48">
                  <c:v>2.0190375278034676</c:v>
                </c:pt>
                <c:pt idx="49">
                  <c:v>2.0209088568550966</c:v>
                </c:pt>
                <c:pt idx="50">
                  <c:v>2.0200771767150076</c:v>
                </c:pt>
                <c:pt idx="51">
                  <c:v>2.0216516440892009</c:v>
                </c:pt>
                <c:pt idx="52">
                  <c:v>2.0223975212131307</c:v>
                </c:pt>
                <c:pt idx="53">
                  <c:v>2.0216952979181082</c:v>
                </c:pt>
                <c:pt idx="54">
                  <c:v>2.0203662567003229</c:v>
                </c:pt>
                <c:pt idx="55">
                  <c:v>2.0214071015250834</c:v>
                </c:pt>
                <c:pt idx="56">
                  <c:v>2.0230159324808472</c:v>
                </c:pt>
                <c:pt idx="57">
                  <c:v>2.024089526112169</c:v>
                </c:pt>
                <c:pt idx="58">
                  <c:v>2.0216516440892009</c:v>
                </c:pt>
                <c:pt idx="59">
                  <c:v>2.0226894165377556</c:v>
                </c:pt>
                <c:pt idx="60">
                  <c:v>2.0243021911169756</c:v>
                </c:pt>
                <c:pt idx="61">
                  <c:v>2.0246058177334199</c:v>
                </c:pt>
                <c:pt idx="62">
                  <c:v>2.0236508469736334</c:v>
                </c:pt>
                <c:pt idx="63">
                  <c:v>2.0217345826127908</c:v>
                </c:pt>
                <c:pt idx="64">
                  <c:v>2.0214726175006534</c:v>
                </c:pt>
                <c:pt idx="65">
                  <c:v>2.0226502181228834</c:v>
                </c:pt>
                <c:pt idx="66">
                  <c:v>2.0223016321851133</c:v>
                </c:pt>
                <c:pt idx="67">
                  <c:v>2.0247358784726712</c:v>
                </c:pt>
                <c:pt idx="68">
                  <c:v>2.0271134483887581</c:v>
                </c:pt>
                <c:pt idx="69">
                  <c:v>2.0246925292205611</c:v>
                </c:pt>
                <c:pt idx="70">
                  <c:v>2.0243021911169756</c:v>
                </c:pt>
                <c:pt idx="71">
                  <c:v>2.0253423141134634</c:v>
                </c:pt>
                <c:pt idx="72">
                  <c:v>2.0284048394143399</c:v>
                </c:pt>
                <c:pt idx="73">
                  <c:v>2.0307197103596444</c:v>
                </c:pt>
                <c:pt idx="74">
                  <c:v>2.0318298925126643</c:v>
                </c:pt>
                <c:pt idx="75">
                  <c:v>2.0324265094985203</c:v>
                </c:pt>
                <c:pt idx="76">
                  <c:v>2.032724510919155</c:v>
                </c:pt>
                <c:pt idx="77">
                  <c:v>2.032724510919155</c:v>
                </c:pt>
                <c:pt idx="78">
                  <c:v>2.0336172902575838</c:v>
                </c:pt>
                <c:pt idx="79">
                  <c:v>2.0356933324151725</c:v>
                </c:pt>
                <c:pt idx="80">
                  <c:v>2.0374649324087417</c:v>
                </c:pt>
                <c:pt idx="81">
                  <c:v>2.0382219828303727</c:v>
                </c:pt>
                <c:pt idx="82">
                  <c:v>2.0404016334878938</c:v>
                </c:pt>
                <c:pt idx="83">
                  <c:v>2.0411118453909003</c:v>
                </c:pt>
                <c:pt idx="84">
                  <c:v>2.0444799366684281</c:v>
                </c:pt>
                <c:pt idx="85">
                  <c:v>2.046834513746004</c:v>
                </c:pt>
                <c:pt idx="86">
                  <c:v>2.0496268857684061</c:v>
                </c:pt>
                <c:pt idx="87">
                  <c:v>2.0526047302609816</c:v>
                </c:pt>
                <c:pt idx="88">
                  <c:v>2.0553199661186898</c:v>
                </c:pt>
                <c:pt idx="89">
                  <c:v>2.0581788989050911</c:v>
                </c:pt>
                <c:pt idx="90">
                  <c:v>2.0602608898989039</c:v>
                </c:pt>
                <c:pt idx="91">
                  <c:v>2.0598612814037396</c:v>
                </c:pt>
                <c:pt idx="92">
                  <c:v>2.0606202234369513</c:v>
                </c:pt>
                <c:pt idx="93">
                  <c:v>2.0619750288649241</c:v>
                </c:pt>
                <c:pt idx="94">
                  <c:v>2.0616168150026026</c:v>
                </c:pt>
                <c:pt idx="95">
                  <c:v>2.0623726980456292</c:v>
                </c:pt>
                <c:pt idx="96">
                  <c:v>2.0655804683426759</c:v>
                </c:pt>
                <c:pt idx="97">
                  <c:v>2.0666051200457085</c:v>
                </c:pt>
                <c:pt idx="98">
                  <c:v>2.0673523781115395</c:v>
                </c:pt>
                <c:pt idx="99">
                  <c:v>2.0683336575789086</c:v>
                </c:pt>
                <c:pt idx="100">
                  <c:v>2.0697428162148199</c:v>
                </c:pt>
                <c:pt idx="101">
                  <c:v>2.0698600399723999</c:v>
                </c:pt>
                <c:pt idx="102">
                  <c:v>2.0703676442796572</c:v>
                </c:pt>
                <c:pt idx="103">
                  <c:v>2.0742139058294669</c:v>
                </c:pt>
                <c:pt idx="104">
                  <c:v>2.0764130652808461</c:v>
                </c:pt>
                <c:pt idx="105">
                  <c:v>2.0780264023776516</c:v>
                </c:pt>
                <c:pt idx="106">
                  <c:v>2.0757583401808013</c:v>
                </c:pt>
                <c:pt idx="107">
                  <c:v>2.0759510088685373</c:v>
                </c:pt>
                <c:pt idx="108">
                  <c:v>2.0776428177546729</c:v>
                </c:pt>
                <c:pt idx="109">
                  <c:v>2.079977431298818</c:v>
                </c:pt>
                <c:pt idx="110">
                  <c:v>2.0806258313834598</c:v>
                </c:pt>
                <c:pt idx="111">
                  <c:v>2.0808544475399429</c:v>
                </c:pt>
                <c:pt idx="112">
                  <c:v>2.0811971462852803</c:v>
                </c:pt>
                <c:pt idx="113">
                  <c:v>2.0802063889432931</c:v>
                </c:pt>
                <c:pt idx="114">
                  <c:v>2.0813113191331278</c:v>
                </c:pt>
                <c:pt idx="115">
                  <c:v>2.0828686806443759</c:v>
                </c:pt>
                <c:pt idx="116">
                  <c:v>2.0832855609330232</c:v>
                </c:pt>
                <c:pt idx="117">
                  <c:v>2.0834370546057563</c:v>
                </c:pt>
                <c:pt idx="118">
                  <c:v>2.0823375263240709</c:v>
                </c:pt>
                <c:pt idx="119">
                  <c:v>2.0842693265156811</c:v>
                </c:pt>
                <c:pt idx="120">
                  <c:v>2.0872823954527697</c:v>
                </c:pt>
                <c:pt idx="121">
                  <c:v>2.088668901296745</c:v>
                </c:pt>
                <c:pt idx="122">
                  <c:v>2.0894538723862039</c:v>
                </c:pt>
                <c:pt idx="123">
                  <c:v>2.0897898547244571</c:v>
                </c:pt>
                <c:pt idx="124">
                  <c:v>2.0893791743327168</c:v>
                </c:pt>
                <c:pt idx="125">
                  <c:v>2.0895285575939382</c:v>
                </c:pt>
                <c:pt idx="126">
                  <c:v>2.0903119778226951</c:v>
                </c:pt>
                <c:pt idx="127">
                  <c:v>2.0900509947377648</c:v>
                </c:pt>
                <c:pt idx="128">
                  <c:v>2.0923200216452273</c:v>
                </c:pt>
              </c:numCache>
            </c:numRef>
          </c:val>
          <c:smooth val="0"/>
          <c:extLst>
            <c:ext xmlns:c16="http://schemas.microsoft.com/office/drawing/2014/chart" uri="{C3380CC4-5D6E-409C-BE32-E72D297353CC}">
              <c16:uniqueId val="{00000002-7D17-4044-BC1F-D5EB1185F654}"/>
            </c:ext>
          </c:extLst>
        </c:ser>
        <c:ser>
          <c:idx val="3"/>
          <c:order val="3"/>
          <c:tx>
            <c:strRef>
              <c:f>'Log(CPI)'!$E$2</c:f>
              <c:strCache>
                <c:ptCount val="1"/>
                <c:pt idx="0">
                  <c:v>Indonesia</c:v>
                </c:pt>
              </c:strCache>
            </c:strRef>
          </c:tx>
          <c:spPr>
            <a:ln w="28575" cap="rnd">
              <a:solidFill>
                <a:schemeClr val="accent4"/>
              </a:solidFill>
              <a:round/>
            </a:ln>
            <a:effectLst/>
          </c:spPr>
          <c:marker>
            <c:symbol val="none"/>
          </c:marker>
          <c:cat>
            <c:strRef>
              <c:f>'Log(CPI)'!$A$3:$A$131</c:f>
              <c:strCache>
                <c:ptCount val="129"/>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pt idx="105">
                  <c:v>2023-M10</c:v>
                </c:pt>
                <c:pt idx="106">
                  <c:v>2023-M11</c:v>
                </c:pt>
                <c:pt idx="107">
                  <c:v>2023-M12</c:v>
                </c:pt>
                <c:pt idx="108">
                  <c:v>2024-M01</c:v>
                </c:pt>
                <c:pt idx="109">
                  <c:v>2024-M02</c:v>
                </c:pt>
                <c:pt idx="110">
                  <c:v>2024-M03</c:v>
                </c:pt>
                <c:pt idx="111">
                  <c:v>2024-M04</c:v>
                </c:pt>
                <c:pt idx="112">
                  <c:v>2024-M05</c:v>
                </c:pt>
                <c:pt idx="113">
                  <c:v>2024-M06</c:v>
                </c:pt>
                <c:pt idx="114">
                  <c:v>2024-M07</c:v>
                </c:pt>
                <c:pt idx="115">
                  <c:v>2024-M08</c:v>
                </c:pt>
                <c:pt idx="116">
                  <c:v>2024-M09</c:v>
                </c:pt>
                <c:pt idx="117">
                  <c:v>2024-M10</c:v>
                </c:pt>
                <c:pt idx="118">
                  <c:v>2024-M11</c:v>
                </c:pt>
                <c:pt idx="119">
                  <c:v>2024-M12</c:v>
                </c:pt>
                <c:pt idx="120">
                  <c:v>2025-M01</c:v>
                </c:pt>
                <c:pt idx="121">
                  <c:v>2025-M02</c:v>
                </c:pt>
                <c:pt idx="122">
                  <c:v>2025-M03</c:v>
                </c:pt>
                <c:pt idx="123">
                  <c:v>2025-M04</c:v>
                </c:pt>
                <c:pt idx="124">
                  <c:v>2025-M05</c:v>
                </c:pt>
                <c:pt idx="125">
                  <c:v>2025-M06</c:v>
                </c:pt>
                <c:pt idx="126">
                  <c:v>2025-M07</c:v>
                </c:pt>
                <c:pt idx="127">
                  <c:v>2025-M08</c:v>
                </c:pt>
                <c:pt idx="128">
                  <c:v>2025-M09</c:v>
                </c:pt>
              </c:strCache>
            </c:strRef>
          </c:cat>
          <c:val>
            <c:numRef>
              <c:f>'Log(CPI)'!$E$3:$E$131</c:f>
              <c:numCache>
                <c:formatCode>General</c:formatCode>
                <c:ptCount val="129"/>
                <c:pt idx="0">
                  <c:v>2</c:v>
                </c:pt>
                <c:pt idx="1">
                  <c:v>1.9984240035023424</c:v>
                </c:pt>
                <c:pt idx="2">
                  <c:v>1.99915774670047</c:v>
                </c:pt>
                <c:pt idx="3">
                  <c:v>2.0007310876035516</c:v>
                </c:pt>
                <c:pt idx="4">
                  <c:v>2.0028806425009833</c:v>
                </c:pt>
                <c:pt idx="5">
                  <c:v>2.0052003430052738</c:v>
                </c:pt>
                <c:pt idx="6">
                  <c:v>2.0092302681952181</c:v>
                </c:pt>
                <c:pt idx="7">
                  <c:v>2.0109103254935308</c:v>
                </c:pt>
                <c:pt idx="8">
                  <c:v>2.0106961970024551</c:v>
                </c:pt>
                <c:pt idx="9">
                  <c:v>2.0103390990507166</c:v>
                </c:pt>
                <c:pt idx="10">
                  <c:v>2.0112312939893626</c:v>
                </c:pt>
                <c:pt idx="11">
                  <c:v>2.0153824927989423</c:v>
                </c:pt>
                <c:pt idx="12">
                  <c:v>2.0176014505762345</c:v>
                </c:pt>
                <c:pt idx="13">
                  <c:v>2.0172148154935829</c:v>
                </c:pt>
                <c:pt idx="14">
                  <c:v>2.0180579065234903</c:v>
                </c:pt>
                <c:pt idx="15">
                  <c:v>2.0160881595270892</c:v>
                </c:pt>
                <c:pt idx="16">
                  <c:v>2.0171093334881358</c:v>
                </c:pt>
                <c:pt idx="17">
                  <c:v>2.0199489113770697</c:v>
                </c:pt>
                <c:pt idx="18">
                  <c:v>2.0229435396055346</c:v>
                </c:pt>
                <c:pt idx="19">
                  <c:v>2.0228741083706545</c:v>
                </c:pt>
                <c:pt idx="20">
                  <c:v>2.0238448804052349</c:v>
                </c:pt>
                <c:pt idx="21">
                  <c:v>2.0244677639571287</c:v>
                </c:pt>
                <c:pt idx="22">
                  <c:v>2.0265032028093515</c:v>
                </c:pt>
                <c:pt idx="23">
                  <c:v>2.0283235839202027</c:v>
                </c:pt>
                <c:pt idx="24">
                  <c:v>2.0325190460148765</c:v>
                </c:pt>
                <c:pt idx="25">
                  <c:v>2.0335362277143347</c:v>
                </c:pt>
                <c:pt idx="26">
                  <c:v>2.0334684695916461</c:v>
                </c:pt>
                <c:pt idx="27">
                  <c:v>2.0338409082074058</c:v>
                </c:pt>
                <c:pt idx="28">
                  <c:v>2.0355297018022136</c:v>
                </c:pt>
                <c:pt idx="29">
                  <c:v>2.038519630451245</c:v>
                </c:pt>
                <c:pt idx="30">
                  <c:v>2.0394560402229809</c:v>
                </c:pt>
                <c:pt idx="31">
                  <c:v>2.0391552750399695</c:v>
                </c:pt>
                <c:pt idx="32">
                  <c:v>2.0397232507850807</c:v>
                </c:pt>
                <c:pt idx="33">
                  <c:v>2.0397565972589873</c:v>
                </c:pt>
                <c:pt idx="34">
                  <c:v>2.0406237449555436</c:v>
                </c:pt>
                <c:pt idx="35">
                  <c:v>2.0437112655248506</c:v>
                </c:pt>
                <c:pt idx="36">
                  <c:v>2.0464154868668554</c:v>
                </c:pt>
                <c:pt idx="37">
                  <c:v>2.047138194282538</c:v>
                </c:pt>
                <c:pt idx="38">
                  <c:v>2.0479906936206733</c:v>
                </c:pt>
                <c:pt idx="39">
                  <c:v>2.0484163650758855</c:v>
                </c:pt>
                <c:pt idx="40">
                  <c:v>2.0493316993907795</c:v>
                </c:pt>
                <c:pt idx="41">
                  <c:v>2.0518714197004453</c:v>
                </c:pt>
                <c:pt idx="42">
                  <c:v>2.0530710359371485</c:v>
                </c:pt>
                <c:pt idx="43">
                  <c:v>2.0528443199470967</c:v>
                </c:pt>
                <c:pt idx="44">
                  <c:v>2.0520661838042664</c:v>
                </c:pt>
                <c:pt idx="45">
                  <c:v>2.0532652149640058</c:v>
                </c:pt>
                <c:pt idx="46">
                  <c:v>2.0544287085782016</c:v>
                </c:pt>
                <c:pt idx="47">
                  <c:v>2.0570993007215481</c:v>
                </c:pt>
                <c:pt idx="48">
                  <c:v>2.0585083822153636</c:v>
                </c:pt>
                <c:pt idx="49">
                  <c:v>2.0581565639276671</c:v>
                </c:pt>
                <c:pt idx="50">
                  <c:v>2.0586362971839116</c:v>
                </c:pt>
                <c:pt idx="51">
                  <c:v>2.0605499012830175</c:v>
                </c:pt>
                <c:pt idx="52">
                  <c:v>2.0634994310168628</c:v>
                </c:pt>
                <c:pt idx="53">
                  <c:v>2.0658950296470522</c:v>
                </c:pt>
                <c:pt idx="54">
                  <c:v>2.0672446061101089</c:v>
                </c:pt>
                <c:pt idx="55">
                  <c:v>2.0677456752506926</c:v>
                </c:pt>
                <c:pt idx="56">
                  <c:v>2.0665546209622772</c:v>
                </c:pt>
                <c:pt idx="57">
                  <c:v>2.0666487532829665</c:v>
                </c:pt>
                <c:pt idx="58">
                  <c:v>2.0672759514829111</c:v>
                </c:pt>
                <c:pt idx="59">
                  <c:v>2.0687461288066564</c:v>
                </c:pt>
                <c:pt idx="60">
                  <c:v>2.0699934980978401</c:v>
                </c:pt>
                <c:pt idx="61">
                  <c:v>2.0711990094153845</c:v>
                </c:pt>
                <c:pt idx="62">
                  <c:v>2.0716138965936328</c:v>
                </c:pt>
                <c:pt idx="63">
                  <c:v>2.0719455671416611</c:v>
                </c:pt>
                <c:pt idx="64">
                  <c:v>2.072235576972679</c:v>
                </c:pt>
                <c:pt idx="65">
                  <c:v>2.0730216931433096</c:v>
                </c:pt>
                <c:pt idx="66">
                  <c:v>2.0725667732641258</c:v>
                </c:pt>
                <c:pt idx="67">
                  <c:v>2.0723597879714157</c:v>
                </c:pt>
                <c:pt idx="68">
                  <c:v>2.0721527498996082</c:v>
                </c:pt>
                <c:pt idx="69">
                  <c:v>2.072442575572107</c:v>
                </c:pt>
                <c:pt idx="70">
                  <c:v>2.073641317238184</c:v>
                </c:pt>
                <c:pt idx="71">
                  <c:v>2.0755770950471466</c:v>
                </c:pt>
                <c:pt idx="72">
                  <c:v>2.0766852605214448</c:v>
                </c:pt>
                <c:pt idx="73">
                  <c:v>2.0771358889371609</c:v>
                </c:pt>
                <c:pt idx="74">
                  <c:v>2.0775042828012213</c:v>
                </c:pt>
                <c:pt idx="75">
                  <c:v>2.0780766943518176</c:v>
                </c:pt>
                <c:pt idx="76">
                  <c:v>2.0794637295590603</c:v>
                </c:pt>
                <c:pt idx="77">
                  <c:v>2.0787707430770515</c:v>
                </c:pt>
                <c:pt idx="78">
                  <c:v>2.0790969947682822</c:v>
                </c:pt>
                <c:pt idx="79">
                  <c:v>2.0792192590524259</c:v>
                </c:pt>
                <c:pt idx="80">
                  <c:v>2.0790562323567436</c:v>
                </c:pt>
                <c:pt idx="81">
                  <c:v>2.0795858906566815</c:v>
                </c:pt>
                <c:pt idx="82">
                  <c:v>2.0811709558025564</c:v>
                </c:pt>
                <c:pt idx="83">
                  <c:v>2.0836386565855669</c:v>
                </c:pt>
                <c:pt idx="84">
                  <c:v>2.0860523482659237</c:v>
                </c:pt>
                <c:pt idx="85">
                  <c:v>2.085972070562137</c:v>
                </c:pt>
                <c:pt idx="86">
                  <c:v>2.0888115332227493</c:v>
                </c:pt>
                <c:pt idx="87">
                  <c:v>2.0928980195471798</c:v>
                </c:pt>
                <c:pt idx="88">
                  <c:v>2.0946320497726334</c:v>
                </c:pt>
                <c:pt idx="89">
                  <c:v>2.0972592966234114</c:v>
                </c:pt>
                <c:pt idx="90">
                  <c:v>2.1000262736916882</c:v>
                </c:pt>
                <c:pt idx="91">
                  <c:v>2.0991317971932903</c:v>
                </c:pt>
                <c:pt idx="92">
                  <c:v>2.1041629449388481</c:v>
                </c:pt>
                <c:pt idx="93">
                  <c:v>2.1037007485639734</c:v>
                </c:pt>
                <c:pt idx="94">
                  <c:v>2.1040857330492906</c:v>
                </c:pt>
                <c:pt idx="95">
                  <c:v>2.1069245693442675</c:v>
                </c:pt>
                <c:pt idx="96">
                  <c:v>2.1084130964078613</c:v>
                </c:pt>
                <c:pt idx="97">
                  <c:v>2.1090980999577189</c:v>
                </c:pt>
                <c:pt idx="98">
                  <c:v>2.1098582306312714</c:v>
                </c:pt>
                <c:pt idx="99">
                  <c:v>2.1112989916459086</c:v>
                </c:pt>
                <c:pt idx="100">
                  <c:v>2.1116773020824469</c:v>
                </c:pt>
                <c:pt idx="101">
                  <c:v>2.1122822490833948</c:v>
                </c:pt>
                <c:pt idx="102">
                  <c:v>2.1131876747585263</c:v>
                </c:pt>
                <c:pt idx="103">
                  <c:v>2.1131120509305523</c:v>
                </c:pt>
                <c:pt idx="104">
                  <c:v>2.1139406873585633</c:v>
                </c:pt>
                <c:pt idx="105">
                  <c:v>2.1146923965879929</c:v>
                </c:pt>
                <c:pt idx="106">
                  <c:v>2.1163416741405565</c:v>
                </c:pt>
                <c:pt idx="107">
                  <c:v>2.1181338464935426</c:v>
                </c:pt>
                <c:pt idx="108">
                  <c:v>2.1183200893037846</c:v>
                </c:pt>
                <c:pt idx="109">
                  <c:v>2.119927291858664</c:v>
                </c:pt>
                <c:pt idx="110">
                  <c:v>2.1221837984234249</c:v>
                </c:pt>
                <c:pt idx="111">
                  <c:v>2.1232872621527537</c:v>
                </c:pt>
                <c:pt idx="112">
                  <c:v>2.1231647934349511</c:v>
                </c:pt>
                <c:pt idx="113">
                  <c:v>2.1227971799319643</c:v>
                </c:pt>
                <c:pt idx="114">
                  <c:v>2.122020083604069</c:v>
                </c:pt>
                <c:pt idx="115">
                  <c:v>2.1218972569762684</c:v>
                </c:pt>
                <c:pt idx="116">
                  <c:v>2.1213646064764839</c:v>
                </c:pt>
                <c:pt idx="117">
                  <c:v>2.1216924687035514</c:v>
                </c:pt>
                <c:pt idx="118">
                  <c:v>2.1230014480707675</c:v>
                </c:pt>
                <c:pt idx="119">
                  <c:v>2.124916886886262</c:v>
                </c:pt>
                <c:pt idx="120">
                  <c:v>2.1216105263482326</c:v>
                </c:pt>
                <c:pt idx="121">
                  <c:v>2.1195157553151209</c:v>
                </c:pt>
                <c:pt idx="122">
                  <c:v>2.1266214370830125</c:v>
                </c:pt>
                <c:pt idx="123">
                  <c:v>2.1316552743505257</c:v>
                </c:pt>
                <c:pt idx="124">
                  <c:v>2.1300507856615769</c:v>
                </c:pt>
                <c:pt idx="125">
                  <c:v>2.1308537709728941</c:v>
                </c:pt>
                <c:pt idx="126">
                  <c:v>2.1321754594465525</c:v>
                </c:pt>
                <c:pt idx="127">
                  <c:v>2.1318153976750067</c:v>
                </c:pt>
                <c:pt idx="128">
                  <c:v>2.1327349628594163</c:v>
                </c:pt>
              </c:numCache>
            </c:numRef>
          </c:val>
          <c:smooth val="0"/>
          <c:extLst>
            <c:ext xmlns:c16="http://schemas.microsoft.com/office/drawing/2014/chart" uri="{C3380CC4-5D6E-409C-BE32-E72D297353CC}">
              <c16:uniqueId val="{00000003-7D17-4044-BC1F-D5EB1185F654}"/>
            </c:ext>
          </c:extLst>
        </c:ser>
        <c:dLbls>
          <c:showLegendKey val="0"/>
          <c:showVal val="0"/>
          <c:showCatName val="0"/>
          <c:showSerName val="0"/>
          <c:showPercent val="0"/>
          <c:showBubbleSize val="0"/>
        </c:dLbls>
        <c:smooth val="0"/>
        <c:axId val="1812940160"/>
        <c:axId val="1812943040"/>
      </c:lineChart>
      <c:catAx>
        <c:axId val="18129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12943040"/>
        <c:crosses val="autoZero"/>
        <c:auto val="1"/>
        <c:lblAlgn val="ctr"/>
        <c:lblOffset val="100"/>
        <c:noMultiLvlLbl val="0"/>
      </c:catAx>
      <c:valAx>
        <c:axId val="1812943040"/>
        <c:scaling>
          <c:orientation val="minMax"/>
          <c:min val="1.9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1294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350520</xdr:colOff>
      <xdr:row>1</xdr:row>
      <xdr:rowOff>0</xdr:rowOff>
    </xdr:from>
    <xdr:to>
      <xdr:col>18</xdr:col>
      <xdr:colOff>7620</xdr:colOff>
      <xdr:row>22</xdr:row>
      <xdr:rowOff>121920</xdr:rowOff>
    </xdr:to>
    <xdr:graphicFrame macro="">
      <xdr:nvGraphicFramePr>
        <xdr:cNvPr id="3" name="Chart 2">
          <a:extLst>
            <a:ext uri="{FF2B5EF4-FFF2-40B4-BE49-F238E27FC236}">
              <a16:creationId xmlns:a16="http://schemas.microsoft.com/office/drawing/2014/main" id="{6F4A44B6-747B-4488-8996-6A710B996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2</xdr:row>
      <xdr:rowOff>38100</xdr:rowOff>
    </xdr:from>
    <xdr:to>
      <xdr:col>20</xdr:col>
      <xdr:colOff>38100</xdr:colOff>
      <xdr:row>24</xdr:row>
      <xdr:rowOff>167640</xdr:rowOff>
    </xdr:to>
    <xdr:graphicFrame macro="">
      <xdr:nvGraphicFramePr>
        <xdr:cNvPr id="3" name="Chart 2">
          <a:extLst>
            <a:ext uri="{FF2B5EF4-FFF2-40B4-BE49-F238E27FC236}">
              <a16:creationId xmlns:a16="http://schemas.microsoft.com/office/drawing/2014/main" id="{3AEDFA7D-B961-4293-8AE0-77C6FFF7B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0</xdr:row>
      <xdr:rowOff>137160</xdr:rowOff>
    </xdr:from>
    <xdr:to>
      <xdr:col>19</xdr:col>
      <xdr:colOff>464820</xdr:colOff>
      <xdr:row>25</xdr:row>
      <xdr:rowOff>0</xdr:rowOff>
    </xdr:to>
    <xdr:graphicFrame macro="">
      <xdr:nvGraphicFramePr>
        <xdr:cNvPr id="3" name="Chart 2">
          <a:extLst>
            <a:ext uri="{FF2B5EF4-FFF2-40B4-BE49-F238E27FC236}">
              <a16:creationId xmlns:a16="http://schemas.microsoft.com/office/drawing/2014/main" id="{952167F5-A16B-4D2F-A46F-3ADCF655F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0"/>
  <sheetViews>
    <sheetView tabSelected="1" workbookViewId="0">
      <selection activeCell="S12" sqref="S12"/>
    </sheetView>
  </sheetViews>
  <sheetFormatPr defaultRowHeight="14.4" x14ac:dyDescent="0.3"/>
  <cols>
    <col min="2" max="2" width="11.109375" customWidth="1"/>
    <col min="21" max="21" width="15.77734375" bestFit="1" customWidth="1"/>
    <col min="22" max="22" width="13.88671875" bestFit="1" customWidth="1"/>
    <col min="24" max="24" width="12" bestFit="1" customWidth="1"/>
  </cols>
  <sheetData>
    <row r="1" spans="1:26" x14ac:dyDescent="0.3">
      <c r="A1" t="s">
        <v>133</v>
      </c>
      <c r="B1" t="s">
        <v>132</v>
      </c>
      <c r="C1" t="s">
        <v>129</v>
      </c>
      <c r="D1" t="s">
        <v>130</v>
      </c>
      <c r="E1" t="s">
        <v>131</v>
      </c>
    </row>
    <row r="2" spans="1:26" x14ac:dyDescent="0.3">
      <c r="A2" s="1">
        <v>110.05441129402</v>
      </c>
      <c r="B2" s="1">
        <v>115.19580477873291</v>
      </c>
      <c r="C2" s="1">
        <v>109.57517424493859</v>
      </c>
      <c r="D2" s="1">
        <v>130.4204702078095</v>
      </c>
      <c r="E2" s="2" t="s">
        <v>0</v>
      </c>
      <c r="W2" t="s">
        <v>133</v>
      </c>
      <c r="X2" t="s">
        <v>132</v>
      </c>
      <c r="Y2" t="s">
        <v>129</v>
      </c>
      <c r="Z2" t="s">
        <v>130</v>
      </c>
    </row>
    <row r="3" spans="1:26" x14ac:dyDescent="0.3">
      <c r="A3" s="3">
        <v>110.1893582235448</v>
      </c>
      <c r="B3" s="3">
        <v>115.30366601916241</v>
      </c>
      <c r="C3" s="3">
        <v>109.51033891894809</v>
      </c>
      <c r="D3" s="3">
        <v>129.94804948646129</v>
      </c>
      <c r="E3" s="4" t="s">
        <v>1</v>
      </c>
      <c r="V3" t="s">
        <v>136</v>
      </c>
      <c r="W3">
        <f>MIN(A2:A130)</f>
        <v>108.1146299369704</v>
      </c>
      <c r="X3">
        <f t="shared" ref="X3:Z3" si="0">MIN(B2:B130)</f>
        <v>115.19580477873291</v>
      </c>
      <c r="Y3">
        <f t="shared" si="0"/>
        <v>109.51033891894809</v>
      </c>
      <c r="Z3">
        <f t="shared" si="0"/>
        <v>129.94804948646129</v>
      </c>
    </row>
    <row r="4" spans="1:26" x14ac:dyDescent="0.3">
      <c r="A4" s="1">
        <v>110.3762078182715</v>
      </c>
      <c r="B4" s="1">
        <v>115.19580477873291</v>
      </c>
      <c r="C4" s="1">
        <v>109.5207588820537</v>
      </c>
      <c r="D4" s="1">
        <v>130.16778308362549</v>
      </c>
      <c r="E4" s="5" t="s">
        <v>2</v>
      </c>
      <c r="V4" t="s">
        <v>137</v>
      </c>
      <c r="W4">
        <f>MAX(A2:A130)</f>
        <v>124.87834416501811</v>
      </c>
      <c r="X4">
        <f t="shared" ref="X4:Z4" si="1">MAX(B2:B130)</f>
        <v>162.70013662465371</v>
      </c>
      <c r="Y4">
        <f t="shared" si="1"/>
        <v>135.5289867936616</v>
      </c>
      <c r="Z4">
        <f t="shared" si="1"/>
        <v>177.04380079750311</v>
      </c>
    </row>
    <row r="5" spans="1:26" x14ac:dyDescent="0.3">
      <c r="A5" s="3">
        <v>110.39696888435221</v>
      </c>
      <c r="B5" s="3">
        <v>115.41152725959201</v>
      </c>
      <c r="C5" s="3">
        <v>109.5543343187274</v>
      </c>
      <c r="D5" s="3">
        <v>130.64020380497371</v>
      </c>
      <c r="E5" s="4" t="s">
        <v>3</v>
      </c>
      <c r="V5" t="s">
        <v>140</v>
      </c>
      <c r="W5">
        <f>AVERAGE(A2:A130)</f>
        <v>114.20457381434508</v>
      </c>
      <c r="X5">
        <f t="shared" ref="X5:Z5" si="2">AVERAGE(B2:B130)</f>
        <v>135.91966452661001</v>
      </c>
      <c r="Y5">
        <f t="shared" si="2"/>
        <v>119.55550645238931</v>
      </c>
      <c r="Z5">
        <f t="shared" si="2"/>
        <v>154.07459838334631</v>
      </c>
    </row>
    <row r="6" spans="1:26" x14ac:dyDescent="0.3">
      <c r="A6" s="1">
        <v>110.5838184790789</v>
      </c>
      <c r="B6" s="1">
        <v>115.30366601916241</v>
      </c>
      <c r="C6" s="1">
        <v>109.8611443435037</v>
      </c>
      <c r="D6" s="1">
        <v>131.2884146603306</v>
      </c>
      <c r="E6" s="5" t="s">
        <v>4</v>
      </c>
      <c r="V6" t="s">
        <v>138</v>
      </c>
      <c r="W6">
        <f>_xlfn.STDEV.S(A2:A130)</f>
        <v>4.5192754523798326</v>
      </c>
      <c r="X6">
        <f t="shared" ref="X6:Z6" si="3">_xlfn.STDEV.S(B2:B130)</f>
        <v>15.960772026757995</v>
      </c>
      <c r="Y6">
        <f t="shared" si="3"/>
        <v>8.2614305315617997</v>
      </c>
      <c r="Z6">
        <f t="shared" si="3"/>
        <v>13.659285561576265</v>
      </c>
    </row>
    <row r="7" spans="1:26" x14ac:dyDescent="0.3">
      <c r="A7" s="3">
        <v>110.69800434252301</v>
      </c>
      <c r="B7" s="3">
        <v>115.30366601916241</v>
      </c>
      <c r="C7" s="3">
        <v>109.88314204339331</v>
      </c>
      <c r="D7" s="3">
        <v>131.99154263359171</v>
      </c>
      <c r="E7" s="4" t="s">
        <v>5</v>
      </c>
      <c r="V7" t="s">
        <v>139</v>
      </c>
      <c r="W7">
        <f>W6/W5</f>
        <v>3.9571755328525839E-2</v>
      </c>
      <c r="X7">
        <f t="shared" ref="X7:Z7" si="4">X6/X5</f>
        <v>0.11742798278929857</v>
      </c>
      <c r="Y7">
        <f t="shared" si="4"/>
        <v>6.9101213124397209E-2</v>
      </c>
      <c r="Z7">
        <f t="shared" si="4"/>
        <v>8.8653715180169998E-2</v>
      </c>
    </row>
    <row r="8" spans="1:26" x14ac:dyDescent="0.3">
      <c r="A8" s="1">
        <v>110.6253406112404</v>
      </c>
      <c r="B8" s="1">
        <v>115.51938850002151</v>
      </c>
      <c r="C8" s="1">
        <v>110.0811213424</v>
      </c>
      <c r="D8" s="1">
        <v>133.222024727492</v>
      </c>
      <c r="E8" s="5" t="s">
        <v>6</v>
      </c>
      <c r="U8" t="s">
        <v>142</v>
      </c>
      <c r="V8" t="s">
        <v>141</v>
      </c>
      <c r="W8">
        <f>CORREL(A2:A112,A14:A124)</f>
        <v>0.69725719575372347</v>
      </c>
      <c r="X8">
        <f>CORREL(B2:B118,B14:B130)</f>
        <v>0.98583305741693117</v>
      </c>
      <c r="Y8">
        <f>CORREL(C2:C118,C14:C130)</f>
        <v>0.97869278585407415</v>
      </c>
      <c r="Z8">
        <f>CORREL(D2:D118,D14:D130)</f>
        <v>0.99072401494099638</v>
      </c>
    </row>
    <row r="9" spans="1:26" x14ac:dyDescent="0.3">
      <c r="A9" s="3">
        <v>110.3762078182715</v>
      </c>
      <c r="B9" s="3">
        <v>115.51938850002151</v>
      </c>
      <c r="C9" s="3">
        <v>110.23510524162739</v>
      </c>
      <c r="D9" s="3">
        <v>133.73838891199571</v>
      </c>
      <c r="E9" s="4" t="s">
        <v>7</v>
      </c>
    </row>
    <row r="10" spans="1:26" x14ac:dyDescent="0.3">
      <c r="A10" s="1">
        <v>110.3243051530696</v>
      </c>
      <c r="B10" s="1">
        <v>115.30366601916241</v>
      </c>
      <c r="C10" s="1">
        <v>109.94913514306219</v>
      </c>
      <c r="D10" s="1">
        <v>133.67246557656901</v>
      </c>
      <c r="E10" s="5" t="s">
        <v>8</v>
      </c>
    </row>
    <row r="11" spans="1:26" x14ac:dyDescent="0.3">
      <c r="A11" s="3">
        <v>110.5422963469174</v>
      </c>
      <c r="B11" s="3">
        <v>115.41152725959201</v>
      </c>
      <c r="C11" s="3">
        <v>109.94913514306219</v>
      </c>
      <c r="D11" s="3">
        <v>133.56259877798701</v>
      </c>
      <c r="E11" s="4" t="s">
        <v>9</v>
      </c>
    </row>
    <row r="12" spans="1:26" x14ac:dyDescent="0.3">
      <c r="A12" s="1">
        <v>110.1893582235448</v>
      </c>
      <c r="B12" s="1">
        <v>115.73511098088051</v>
      </c>
      <c r="C12" s="1">
        <v>109.74073588095</v>
      </c>
      <c r="D12" s="1">
        <v>133.83726577444219</v>
      </c>
      <c r="E12" s="5" t="s">
        <v>10</v>
      </c>
    </row>
    <row r="13" spans="1:26" x14ac:dyDescent="0.3">
      <c r="A13" s="3">
        <v>109.7637563688896</v>
      </c>
      <c r="B13" s="3">
        <v>115.95083346173961</v>
      </c>
      <c r="C13" s="3">
        <v>110.069543605616</v>
      </c>
      <c r="D13" s="3">
        <v>135.12268126763351</v>
      </c>
      <c r="E13" s="4" t="s">
        <v>11</v>
      </c>
    </row>
    <row r="14" spans="1:26" x14ac:dyDescent="0.3">
      <c r="A14" s="1">
        <v>109.47310144375921</v>
      </c>
      <c r="B14" s="1">
        <v>116.05869470216911</v>
      </c>
      <c r="C14" s="1">
        <v>110.257102941517</v>
      </c>
      <c r="D14" s="1">
        <v>135.8148355861459</v>
      </c>
      <c r="E14" s="5" t="s">
        <v>12</v>
      </c>
    </row>
    <row r="15" spans="1:26" x14ac:dyDescent="0.3">
      <c r="A15" s="3">
        <v>109.63918997240511</v>
      </c>
      <c r="B15" s="3">
        <v>115.84297222131011</v>
      </c>
      <c r="C15" s="3">
        <v>110.72947460230471</v>
      </c>
      <c r="D15" s="3">
        <v>135.6939788514282</v>
      </c>
      <c r="E15" s="4" t="s">
        <v>13</v>
      </c>
    </row>
    <row r="16" spans="1:26" x14ac:dyDescent="0.3">
      <c r="A16" s="1">
        <v>109.8675616992933</v>
      </c>
      <c r="B16" s="1">
        <v>115.84297222131011</v>
      </c>
      <c r="C16" s="1">
        <v>110.4435045037396</v>
      </c>
      <c r="D16" s="1">
        <v>135.95765591174779</v>
      </c>
      <c r="E16" s="5" t="s">
        <v>14</v>
      </c>
    </row>
    <row r="17" spans="1:8" x14ac:dyDescent="0.3">
      <c r="A17" s="3">
        <v>110.46963261563479</v>
      </c>
      <c r="B17" s="3">
        <v>116.16655594259861</v>
      </c>
      <c r="C17" s="3">
        <v>110.6519037658518</v>
      </c>
      <c r="D17" s="3">
        <v>135.34241486479769</v>
      </c>
      <c r="E17" s="4" t="s">
        <v>15</v>
      </c>
    </row>
    <row r="18" spans="1:8" x14ac:dyDescent="0.3">
      <c r="A18" s="1">
        <v>111.09246459805711</v>
      </c>
      <c r="B18" s="1">
        <v>116.38227842345771</v>
      </c>
      <c r="C18" s="1">
        <v>110.7178968655207</v>
      </c>
      <c r="D18" s="1">
        <v>135.6610253244084</v>
      </c>
      <c r="E18" s="5" t="s">
        <v>16</v>
      </c>
    </row>
    <row r="19" spans="1:8" x14ac:dyDescent="0.3">
      <c r="A19" s="3">
        <v>111.1236061971782</v>
      </c>
      <c r="B19" s="3">
        <v>116.81372338517581</v>
      </c>
      <c r="C19" s="3">
        <v>110.6958991656311</v>
      </c>
      <c r="D19" s="3">
        <v>136.55093336781371</v>
      </c>
      <c r="E19" s="4" t="s">
        <v>17</v>
      </c>
    </row>
    <row r="20" spans="1:8" x14ac:dyDescent="0.3">
      <c r="A20" s="1">
        <v>110.7395264746845</v>
      </c>
      <c r="B20" s="1">
        <v>117.02944586603481</v>
      </c>
      <c r="C20" s="1">
        <v>110.48749990351889</v>
      </c>
      <c r="D20" s="1">
        <v>137.49575852912329</v>
      </c>
      <c r="E20" s="5" t="s">
        <v>18</v>
      </c>
    </row>
    <row r="21" spans="1:8" x14ac:dyDescent="0.3">
      <c r="A21" s="3">
        <v>110.69800434252301</v>
      </c>
      <c r="B21" s="3">
        <v>117.02944586603481</v>
      </c>
      <c r="C21" s="3">
        <v>110.7723122284056</v>
      </c>
      <c r="D21" s="3">
        <v>137.47377865685209</v>
      </c>
      <c r="E21" s="4" t="s">
        <v>19</v>
      </c>
    </row>
    <row r="22" spans="1:8" x14ac:dyDescent="0.3">
      <c r="A22" s="1">
        <v>110.7395264746845</v>
      </c>
      <c r="B22" s="1">
        <v>117.24516834689391</v>
      </c>
      <c r="C22" s="1">
        <v>111.4322432250943</v>
      </c>
      <c r="D22" s="1">
        <v>137.781415461714</v>
      </c>
      <c r="E22" s="5" t="s">
        <v>20</v>
      </c>
    </row>
    <row r="23" spans="1:8" x14ac:dyDescent="0.3">
      <c r="A23" s="3">
        <v>110.9159955363708</v>
      </c>
      <c r="B23" s="3">
        <v>117.46089082775291</v>
      </c>
      <c r="C23" s="3">
        <v>111.58506935064329</v>
      </c>
      <c r="D23" s="3">
        <v>137.97916918660701</v>
      </c>
      <c r="E23" s="4" t="s">
        <v>21</v>
      </c>
    </row>
    <row r="24" spans="1:8" x14ac:dyDescent="0.3">
      <c r="A24" s="1">
        <v>110.8537123381286</v>
      </c>
      <c r="B24" s="1">
        <v>118.1080582703301</v>
      </c>
      <c r="C24" s="1">
        <v>111.42066548831031</v>
      </c>
      <c r="D24" s="1">
        <v>138.62736376057711</v>
      </c>
      <c r="E24" s="5" t="s">
        <v>22</v>
      </c>
      <c r="H24" t="s">
        <v>134</v>
      </c>
    </row>
    <row r="25" spans="1:8" x14ac:dyDescent="0.3">
      <c r="A25" s="3">
        <v>110.99903980069379</v>
      </c>
      <c r="B25" s="3">
        <v>118.5395032320482</v>
      </c>
      <c r="C25" s="3">
        <v>111.5422317245425</v>
      </c>
      <c r="D25" s="3">
        <v>139.20965128050739</v>
      </c>
      <c r="E25" s="4" t="s">
        <v>23</v>
      </c>
    </row>
    <row r="26" spans="1:8" x14ac:dyDescent="0.3">
      <c r="A26" s="1">
        <v>111.1718671875289</v>
      </c>
      <c r="B26" s="1">
        <v>118.9709481937663</v>
      </c>
      <c r="C26" s="1">
        <v>112.7277919712255</v>
      </c>
      <c r="D26" s="1">
        <v>140.5609901091253</v>
      </c>
      <c r="E26" s="5" t="s">
        <v>24</v>
      </c>
    </row>
    <row r="27" spans="1:8" x14ac:dyDescent="0.3">
      <c r="A27" s="3">
        <v>111.2160049015487</v>
      </c>
      <c r="B27" s="3">
        <v>119.4023931554844</v>
      </c>
      <c r="C27" s="3">
        <v>113.0357597696802</v>
      </c>
      <c r="D27" s="3">
        <v>140.8905905048716</v>
      </c>
      <c r="E27" s="4" t="s">
        <v>25</v>
      </c>
    </row>
    <row r="28" spans="1:8" x14ac:dyDescent="0.3">
      <c r="A28" s="1">
        <v>110.70842119032029</v>
      </c>
      <c r="B28" s="1">
        <v>119.4023931554844</v>
      </c>
      <c r="C28" s="1">
        <v>112.95818893322731</v>
      </c>
      <c r="D28" s="1">
        <v>140.86861063260039</v>
      </c>
      <c r="E28" s="5" t="s">
        <v>26</v>
      </c>
    </row>
    <row r="29" spans="1:8" x14ac:dyDescent="0.3">
      <c r="A29" s="3">
        <v>110.8849720463997</v>
      </c>
      <c r="B29" s="3">
        <v>119.8338381172025</v>
      </c>
      <c r="C29" s="3">
        <v>112.815782770784</v>
      </c>
      <c r="D29" s="3">
        <v>140.9894673673181</v>
      </c>
      <c r="E29" s="4" t="s">
        <v>27</v>
      </c>
    </row>
    <row r="30" spans="1:8" x14ac:dyDescent="0.3">
      <c r="A30" s="1">
        <v>111.0504884739742</v>
      </c>
      <c r="B30" s="1">
        <v>119.725976876773</v>
      </c>
      <c r="C30" s="1">
        <v>112.93619123333769</v>
      </c>
      <c r="D30" s="1">
        <v>141.53878507884161</v>
      </c>
      <c r="E30" s="5" t="s">
        <v>28</v>
      </c>
    </row>
    <row r="31" spans="1:8" x14ac:dyDescent="0.3">
      <c r="A31" s="3">
        <v>111.0725573309842</v>
      </c>
      <c r="B31" s="3">
        <v>119.725976876773</v>
      </c>
      <c r="C31" s="3">
        <v>112.6953743082302</v>
      </c>
      <c r="D31" s="3">
        <v>142.5165800485579</v>
      </c>
      <c r="E31" s="4" t="s">
        <v>29</v>
      </c>
    </row>
    <row r="32" spans="1:8" x14ac:dyDescent="0.3">
      <c r="A32" s="1">
        <v>110.92910976041961</v>
      </c>
      <c r="B32" s="1">
        <v>119.8338381172025</v>
      </c>
      <c r="C32" s="1">
        <v>112.8817758704528</v>
      </c>
      <c r="D32" s="1">
        <v>142.82420057203299</v>
      </c>
      <c r="E32" s="5" t="s">
        <v>30</v>
      </c>
    </row>
    <row r="33" spans="1:5" x14ac:dyDescent="0.3">
      <c r="A33" s="3">
        <v>111.0504884739742</v>
      </c>
      <c r="B33" s="3">
        <v>120.0495605980616</v>
      </c>
      <c r="C33" s="3">
        <v>113.52897135667919</v>
      </c>
      <c r="D33" s="3">
        <v>142.72532370958649</v>
      </c>
      <c r="E33" s="4" t="s">
        <v>31</v>
      </c>
    </row>
    <row r="34" spans="1:5" x14ac:dyDescent="0.3">
      <c r="A34" s="1">
        <v>111.69048532726219</v>
      </c>
      <c r="B34" s="1">
        <v>120.8045892810682</v>
      </c>
      <c r="C34" s="1">
        <v>113.6609575560169</v>
      </c>
      <c r="D34" s="1">
        <v>142.91210377973081</v>
      </c>
      <c r="E34" s="5" t="s">
        <v>32</v>
      </c>
    </row>
    <row r="35" spans="1:5" x14ac:dyDescent="0.3">
      <c r="A35" s="3">
        <v>111.8670361833417</v>
      </c>
      <c r="B35" s="3">
        <v>121.1281730023568</v>
      </c>
      <c r="C35" s="3">
        <v>113.5509690565688</v>
      </c>
      <c r="D35" s="3">
        <v>142.9230774344795</v>
      </c>
      <c r="E35" s="4" t="s">
        <v>33</v>
      </c>
    </row>
    <row r="36" spans="1:5" x14ac:dyDescent="0.3">
      <c r="A36" s="1">
        <v>111.94427718287641</v>
      </c>
      <c r="B36" s="1">
        <v>121.6674792045044</v>
      </c>
      <c r="C36" s="1">
        <v>112.7057942713358</v>
      </c>
      <c r="D36" s="1">
        <v>143.20873436707029</v>
      </c>
      <c r="E36" s="5" t="s">
        <v>34</v>
      </c>
    </row>
    <row r="37" spans="1:5" x14ac:dyDescent="0.3">
      <c r="A37" s="3">
        <v>111.8560017548367</v>
      </c>
      <c r="B37" s="3">
        <v>121.991062925793</v>
      </c>
      <c r="C37" s="3">
        <v>113.1121728324547</v>
      </c>
      <c r="D37" s="3">
        <v>144.23047279994199</v>
      </c>
      <c r="E37" s="4" t="s">
        <v>35</v>
      </c>
    </row>
    <row r="38" spans="1:5" x14ac:dyDescent="0.3">
      <c r="A38" s="1">
        <v>111.93324275437151</v>
      </c>
      <c r="B38" s="1">
        <v>123.0696753300882</v>
      </c>
      <c r="C38" s="1">
        <v>113.5845444932425</v>
      </c>
      <c r="D38" s="1">
        <v>145.1313544980961</v>
      </c>
      <c r="E38" s="5" t="s">
        <v>36</v>
      </c>
    </row>
    <row r="39" spans="1:5" x14ac:dyDescent="0.3">
      <c r="A39" s="3">
        <v>111.6794508987573</v>
      </c>
      <c r="B39" s="3">
        <v>123.95597957629261</v>
      </c>
      <c r="C39" s="3">
        <v>114.4517169783651</v>
      </c>
      <c r="D39" s="3">
        <v>145.3730679675314</v>
      </c>
      <c r="E39" s="4" t="s">
        <v>37</v>
      </c>
    </row>
    <row r="40" spans="1:5" x14ac:dyDescent="0.3">
      <c r="A40" s="1">
        <v>111.5801410422126</v>
      </c>
      <c r="B40" s="1">
        <v>124.5890540378671</v>
      </c>
      <c r="C40" s="1">
        <v>114.3313085158113</v>
      </c>
      <c r="D40" s="1">
        <v>145.65870861873529</v>
      </c>
      <c r="E40" s="5" t="s">
        <v>38</v>
      </c>
    </row>
    <row r="41" spans="1:5" x14ac:dyDescent="0.3">
      <c r="A41" s="3">
        <v>112.076690324936</v>
      </c>
      <c r="B41" s="3">
        <v>125.0955136071267</v>
      </c>
      <c r="C41" s="3">
        <v>114.5397077779236</v>
      </c>
      <c r="D41" s="3">
        <v>145.8015452257242</v>
      </c>
      <c r="E41" s="4" t="s">
        <v>39</v>
      </c>
    </row>
    <row r="42" spans="1:5" x14ac:dyDescent="0.3">
      <c r="A42" s="1">
        <v>112.70565274971911</v>
      </c>
      <c r="B42" s="1">
        <v>125.3487433917565</v>
      </c>
      <c r="C42" s="1">
        <v>114.59528091448681</v>
      </c>
      <c r="D42" s="1">
        <v>146.10916574919921</v>
      </c>
      <c r="E42" s="5" t="s">
        <v>40</v>
      </c>
    </row>
    <row r="43" spans="1:5" x14ac:dyDescent="0.3">
      <c r="A43" s="3">
        <v>112.6063428931744</v>
      </c>
      <c r="B43" s="3">
        <v>125.8552029610162</v>
      </c>
      <c r="C43" s="3">
        <v>114.3637261788066</v>
      </c>
      <c r="D43" s="3">
        <v>146.9661039841979</v>
      </c>
      <c r="E43" s="4" t="s">
        <v>41</v>
      </c>
    </row>
    <row r="44" spans="1:5" x14ac:dyDescent="0.3">
      <c r="A44" s="1">
        <v>112.5465583595345</v>
      </c>
      <c r="B44" s="1">
        <v>126.8681220995354</v>
      </c>
      <c r="C44" s="1">
        <v>114.1449069535887</v>
      </c>
      <c r="D44" s="1">
        <v>147.37261765150629</v>
      </c>
      <c r="E44" s="5" t="s">
        <v>42</v>
      </c>
    </row>
    <row r="45" spans="1:5" x14ac:dyDescent="0.3">
      <c r="A45" s="3">
        <v>112.8491003202836</v>
      </c>
      <c r="B45" s="3">
        <v>128.00765613036961</v>
      </c>
      <c r="C45" s="3">
        <v>115.1544856011547</v>
      </c>
      <c r="D45" s="3">
        <v>147.29570437994411</v>
      </c>
      <c r="E45" s="4" t="s">
        <v>43</v>
      </c>
    </row>
    <row r="46" spans="1:5" x14ac:dyDescent="0.3">
      <c r="A46" s="1">
        <v>113.1801331754326</v>
      </c>
      <c r="B46" s="1">
        <v>129.2738050535186</v>
      </c>
      <c r="C46" s="1">
        <v>116.0332358230613</v>
      </c>
      <c r="D46" s="1">
        <v>147.03202731962449</v>
      </c>
      <c r="E46" s="5" t="s">
        <v>44</v>
      </c>
    </row>
    <row r="47" spans="1:5" x14ac:dyDescent="0.3">
      <c r="A47" s="3">
        <v>113.2463397464624</v>
      </c>
      <c r="B47" s="3">
        <v>129.52703483814841</v>
      </c>
      <c r="C47" s="3">
        <v>115.82483656094909</v>
      </c>
      <c r="D47" s="3">
        <v>147.43852470554609</v>
      </c>
      <c r="E47" s="4" t="s">
        <v>45</v>
      </c>
    </row>
    <row r="48" spans="1:5" x14ac:dyDescent="0.3">
      <c r="A48" s="1">
        <v>112.9925478908482</v>
      </c>
      <c r="B48" s="1">
        <v>129.1471901612037</v>
      </c>
      <c r="C48" s="1">
        <v>115.00165947560571</v>
      </c>
      <c r="D48" s="1">
        <v>147.83404843671889</v>
      </c>
      <c r="E48" s="5" t="s">
        <v>46</v>
      </c>
    </row>
    <row r="49" spans="1:5" x14ac:dyDescent="0.3">
      <c r="A49" s="3">
        <v>112.2532411810155</v>
      </c>
      <c r="B49" s="3">
        <v>128.3875008073143</v>
      </c>
      <c r="C49" s="3">
        <v>114.6057008775924</v>
      </c>
      <c r="D49" s="3">
        <v>148.74592007100861</v>
      </c>
      <c r="E49" s="4" t="s">
        <v>47</v>
      </c>
    </row>
    <row r="50" spans="1:5" x14ac:dyDescent="0.3">
      <c r="A50" s="1">
        <v>112.2311723240056</v>
      </c>
      <c r="B50" s="1">
        <v>128.5141156996292</v>
      </c>
      <c r="C50" s="1">
        <v>114.4852924150387</v>
      </c>
      <c r="D50" s="1">
        <v>149.22931444710551</v>
      </c>
      <c r="E50" s="5" t="s">
        <v>48</v>
      </c>
    </row>
    <row r="51" spans="1:5" x14ac:dyDescent="0.3">
      <c r="A51" s="3">
        <v>112.49599860812469</v>
      </c>
      <c r="B51" s="3">
        <v>128.64073059194411</v>
      </c>
      <c r="C51" s="3">
        <v>114.9796617757161</v>
      </c>
      <c r="D51" s="3">
        <v>149.10847399377471</v>
      </c>
      <c r="E51" s="4" t="s">
        <v>49</v>
      </c>
    </row>
    <row r="52" spans="1:5" x14ac:dyDescent="0.3">
      <c r="A52" s="1">
        <v>112.9594446053333</v>
      </c>
      <c r="B52" s="1">
        <v>128.76734548425901</v>
      </c>
      <c r="C52" s="1">
        <v>114.7596847768198</v>
      </c>
      <c r="D52" s="1">
        <v>149.2732741916478</v>
      </c>
      <c r="E52" s="5" t="s">
        <v>50</v>
      </c>
    </row>
    <row r="53" spans="1:5" x14ac:dyDescent="0.3">
      <c r="A53" s="3">
        <v>113.4559938880567</v>
      </c>
      <c r="B53" s="3">
        <v>129.1471901612037</v>
      </c>
      <c r="C53" s="3">
        <v>115.1764833010443</v>
      </c>
      <c r="D53" s="3">
        <v>149.9324587017534</v>
      </c>
      <c r="E53" s="4" t="s">
        <v>51</v>
      </c>
    </row>
    <row r="54" spans="1:5" x14ac:dyDescent="0.3">
      <c r="A54" s="1">
        <v>113.9966808848001</v>
      </c>
      <c r="B54" s="1">
        <v>129.40041994583351</v>
      </c>
      <c r="C54" s="1">
        <v>115.3744626000509</v>
      </c>
      <c r="D54" s="1">
        <v>150.95419713462519</v>
      </c>
      <c r="E54" s="5" t="s">
        <v>52</v>
      </c>
    </row>
    <row r="55" spans="1:5" x14ac:dyDescent="0.3">
      <c r="A55" s="3">
        <v>113.5884070301163</v>
      </c>
      <c r="B55" s="3">
        <v>129.2738050535186</v>
      </c>
      <c r="C55" s="3">
        <v>115.18806103782831</v>
      </c>
      <c r="D55" s="3">
        <v>151.7891717787395</v>
      </c>
      <c r="E55" s="4" t="s">
        <v>53</v>
      </c>
    </row>
    <row r="56" spans="1:5" x14ac:dyDescent="0.3">
      <c r="A56" s="1">
        <v>113.6546136011461</v>
      </c>
      <c r="B56" s="1">
        <v>129.65364973046329</v>
      </c>
      <c r="C56" s="1">
        <v>114.8360978395943</v>
      </c>
      <c r="D56" s="1">
        <v>152.26159250008769</v>
      </c>
      <c r="E56" s="5" t="s">
        <v>54</v>
      </c>
    </row>
    <row r="57" spans="1:5" x14ac:dyDescent="0.3">
      <c r="A57" s="3">
        <v>113.4339250310468</v>
      </c>
      <c r="B57" s="3">
        <v>129.78026462277819</v>
      </c>
      <c r="C57" s="3">
        <v>115.1116479750538</v>
      </c>
      <c r="D57" s="3">
        <v>152.43736635270949</v>
      </c>
      <c r="E57" s="4" t="s">
        <v>55</v>
      </c>
    </row>
    <row r="58" spans="1:5" x14ac:dyDescent="0.3">
      <c r="A58" s="1">
        <v>113.5442693160965</v>
      </c>
      <c r="B58" s="1">
        <v>129.9068795150931</v>
      </c>
      <c r="C58" s="1">
        <v>115.53886646238389</v>
      </c>
      <c r="D58" s="1">
        <v>152.01987903065239</v>
      </c>
      <c r="E58" s="5" t="s">
        <v>56</v>
      </c>
    </row>
    <row r="59" spans="1:5" x14ac:dyDescent="0.3">
      <c r="A59" s="3">
        <v>113.367718460017</v>
      </c>
      <c r="B59" s="3">
        <v>130.28672419203789</v>
      </c>
      <c r="C59" s="3">
        <v>115.82483656094909</v>
      </c>
      <c r="D59" s="3">
        <v>152.0528325576723</v>
      </c>
      <c r="E59" s="4" t="s">
        <v>57</v>
      </c>
    </row>
    <row r="60" spans="1:5" x14ac:dyDescent="0.3">
      <c r="A60" s="1">
        <v>113.2242708894525</v>
      </c>
      <c r="B60" s="1">
        <v>130.66656886898261</v>
      </c>
      <c r="C60" s="1">
        <v>115.1764833010443</v>
      </c>
      <c r="D60" s="1">
        <v>152.2725824362233</v>
      </c>
      <c r="E60" s="5" t="s">
        <v>58</v>
      </c>
    </row>
    <row r="61" spans="1:5" x14ac:dyDescent="0.3">
      <c r="A61" s="3">
        <v>113.2353053179574</v>
      </c>
      <c r="B61" s="3">
        <v>131.42625822287201</v>
      </c>
      <c r="C61" s="3">
        <v>115.4520334365038</v>
      </c>
      <c r="D61" s="3">
        <v>152.78893033934011</v>
      </c>
      <c r="E61" s="4" t="s">
        <v>59</v>
      </c>
    </row>
    <row r="62" spans="1:5" x14ac:dyDescent="0.3">
      <c r="A62" s="1">
        <v>113.4118561740369</v>
      </c>
      <c r="B62" s="1">
        <v>132.3125624690764</v>
      </c>
      <c r="C62" s="1">
        <v>115.88156747119071</v>
      </c>
      <c r="D62" s="1">
        <v>153.22839753366841</v>
      </c>
      <c r="E62" s="5" t="s">
        <v>60</v>
      </c>
    </row>
    <row r="63" spans="1:5" x14ac:dyDescent="0.3">
      <c r="A63" s="3">
        <v>113.32358074599721</v>
      </c>
      <c r="B63" s="3">
        <v>131.80610289981669</v>
      </c>
      <c r="C63" s="3">
        <v>115.9626116286788</v>
      </c>
      <c r="D63" s="3">
        <v>153.6543186141229</v>
      </c>
      <c r="E63" s="4" t="s">
        <v>61</v>
      </c>
    </row>
    <row r="64" spans="1:5" x14ac:dyDescent="0.3">
      <c r="A64" s="1">
        <v>112.3525510375602</v>
      </c>
      <c r="B64" s="1">
        <v>131.55287311518691</v>
      </c>
      <c r="C64" s="1">
        <v>115.7079014194305</v>
      </c>
      <c r="D64" s="1">
        <v>153.80117672366811</v>
      </c>
      <c r="E64" s="5" t="s">
        <v>62</v>
      </c>
    </row>
    <row r="65" spans="1:5" x14ac:dyDescent="0.3">
      <c r="A65" s="3">
        <v>110.0684243370323</v>
      </c>
      <c r="B65" s="3">
        <v>131.42625822287201</v>
      </c>
      <c r="C65" s="3">
        <v>115.1984810009339</v>
      </c>
      <c r="D65" s="3">
        <v>153.91867949269101</v>
      </c>
      <c r="E65" s="4" t="s">
        <v>63</v>
      </c>
    </row>
    <row r="66" spans="1:5" x14ac:dyDescent="0.3">
      <c r="A66" s="1">
        <v>110.0794587655373</v>
      </c>
      <c r="B66" s="1">
        <v>131.42625822287201</v>
      </c>
      <c r="C66" s="1">
        <v>115.12901458022981</v>
      </c>
      <c r="D66" s="1">
        <v>154.0214964507594</v>
      </c>
      <c r="E66" s="5" t="s">
        <v>64</v>
      </c>
    </row>
    <row r="67" spans="1:5" x14ac:dyDescent="0.3">
      <c r="A67" s="3">
        <v>111.8008296123119</v>
      </c>
      <c r="B67" s="3">
        <v>132.18594757676141</v>
      </c>
      <c r="C67" s="3">
        <v>115.44161347339821</v>
      </c>
      <c r="D67" s="3">
        <v>154.300543140282</v>
      </c>
      <c r="E67" s="4" t="s">
        <v>65</v>
      </c>
    </row>
    <row r="68" spans="1:5" x14ac:dyDescent="0.3">
      <c r="A68" s="1">
        <v>112.5401363221446</v>
      </c>
      <c r="B68" s="1">
        <v>132.81902203833599</v>
      </c>
      <c r="C68" s="1">
        <v>115.34899157912611</v>
      </c>
      <c r="D68" s="1">
        <v>154.13899921978239</v>
      </c>
      <c r="E68" s="5" t="s">
        <v>66</v>
      </c>
    </row>
    <row r="69" spans="1:5" x14ac:dyDescent="0.3">
      <c r="A69" s="3">
        <v>112.87116917729359</v>
      </c>
      <c r="B69" s="3">
        <v>132.69240714602111</v>
      </c>
      <c r="C69" s="3">
        <v>115.9973448390309</v>
      </c>
      <c r="D69" s="3">
        <v>154.06555388362301</v>
      </c>
      <c r="E69" s="4" t="s">
        <v>67</v>
      </c>
    </row>
    <row r="70" spans="1:5" x14ac:dyDescent="0.3">
      <c r="A70" s="1">
        <v>112.7497904637389</v>
      </c>
      <c r="B70" s="1">
        <v>132.81902203833599</v>
      </c>
      <c r="C70" s="1">
        <v>116.63412036215161</v>
      </c>
      <c r="D70" s="1">
        <v>153.99212482885039</v>
      </c>
      <c r="E70" s="5" t="s">
        <v>68</v>
      </c>
    </row>
    <row r="71" spans="1:5" x14ac:dyDescent="0.3">
      <c r="A71" s="3">
        <v>112.8049626062638</v>
      </c>
      <c r="B71" s="3">
        <v>133.32548160759561</v>
      </c>
      <c r="C71" s="3">
        <v>115.9857671022468</v>
      </c>
      <c r="D71" s="3">
        <v>154.09492550553199</v>
      </c>
      <c r="E71" s="4" t="s">
        <v>69</v>
      </c>
    </row>
    <row r="72" spans="1:5" x14ac:dyDescent="0.3">
      <c r="A72" s="1">
        <v>112.7608248922439</v>
      </c>
      <c r="B72" s="1">
        <v>134.59163053074471</v>
      </c>
      <c r="C72" s="1">
        <v>115.88156747119071</v>
      </c>
      <c r="D72" s="1">
        <v>154.5208465859865</v>
      </c>
      <c r="E72" s="5" t="s">
        <v>70</v>
      </c>
    </row>
    <row r="73" spans="1:5" x14ac:dyDescent="0.3">
      <c r="A73" s="3">
        <v>112.92634131981841</v>
      </c>
      <c r="B73" s="3">
        <v>135.73116456157879</v>
      </c>
      <c r="C73" s="3">
        <v>116.159433154007</v>
      </c>
      <c r="D73" s="3">
        <v>155.2111285450091</v>
      </c>
      <c r="E73" s="4" t="s">
        <v>71</v>
      </c>
    </row>
    <row r="74" spans="1:5" x14ac:dyDescent="0.3">
      <c r="A74" s="1">
        <v>113.030475866006</v>
      </c>
      <c r="B74" s="1">
        <v>137.25054326935771</v>
      </c>
      <c r="C74" s="1">
        <v>116.98145246567201</v>
      </c>
      <c r="D74" s="1">
        <v>155.6076780035547</v>
      </c>
      <c r="E74" s="5" t="s">
        <v>72</v>
      </c>
    </row>
    <row r="75" spans="1:5" x14ac:dyDescent="0.3">
      <c r="A75" s="3">
        <v>111.9997339776598</v>
      </c>
      <c r="B75" s="3">
        <v>137.37715816167261</v>
      </c>
      <c r="C75" s="3">
        <v>117.60665025200871</v>
      </c>
      <c r="D75" s="3">
        <v>155.76922192405431</v>
      </c>
      <c r="E75" s="4" t="s">
        <v>73</v>
      </c>
    </row>
    <row r="76" spans="1:5" x14ac:dyDescent="0.3">
      <c r="A76" s="1">
        <v>112.2602511582308</v>
      </c>
      <c r="B76" s="1">
        <v>136.9973134847279</v>
      </c>
      <c r="C76" s="1">
        <v>117.9076714083931</v>
      </c>
      <c r="D76" s="1">
        <v>155.9014105040317</v>
      </c>
      <c r="E76" s="5" t="s">
        <v>74</v>
      </c>
    </row>
    <row r="77" spans="1:5" x14ac:dyDescent="0.3">
      <c r="A77" s="3">
        <v>113.812027407719</v>
      </c>
      <c r="B77" s="3">
        <v>136.87069859241299</v>
      </c>
      <c r="C77" s="3">
        <v>118.0697597233693</v>
      </c>
      <c r="D77" s="3">
        <v>156.1070281387818</v>
      </c>
      <c r="E77" s="4" t="s">
        <v>75</v>
      </c>
    </row>
    <row r="78" spans="1:5" x14ac:dyDescent="0.3">
      <c r="A78" s="1">
        <v>112.7586318514971</v>
      </c>
      <c r="B78" s="1">
        <v>136.87069859241299</v>
      </c>
      <c r="C78" s="1">
        <v>118.1508038808574</v>
      </c>
      <c r="D78" s="1">
        <v>156.6063945553957</v>
      </c>
      <c r="E78" s="5" t="s">
        <v>76</v>
      </c>
    </row>
    <row r="79" spans="1:5" x14ac:dyDescent="0.3">
      <c r="A79" s="3">
        <v>113.18905154113619</v>
      </c>
      <c r="B79" s="3">
        <v>137.1239283770428</v>
      </c>
      <c r="C79" s="3">
        <v>118.1508038808574</v>
      </c>
      <c r="D79" s="3">
        <v>156.35670320639531</v>
      </c>
      <c r="E79" s="4" t="s">
        <v>77</v>
      </c>
    </row>
    <row r="80" spans="1:5" x14ac:dyDescent="0.3">
      <c r="A80" s="1">
        <v>113.0531295338817</v>
      </c>
      <c r="B80" s="1">
        <v>137.7570028386173</v>
      </c>
      <c r="C80" s="1">
        <v>118.39393635332161</v>
      </c>
      <c r="D80" s="1">
        <v>156.4742059754183</v>
      </c>
      <c r="E80" s="5" t="s">
        <v>78</v>
      </c>
    </row>
    <row r="81" spans="1:5" x14ac:dyDescent="0.3">
      <c r="A81" s="3">
        <v>112.8492465230001</v>
      </c>
      <c r="B81" s="3">
        <v>138.5166921925067</v>
      </c>
      <c r="C81" s="3">
        <v>118.96124545573829</v>
      </c>
      <c r="D81" s="3">
        <v>156.5182634082818</v>
      </c>
      <c r="E81" s="4" t="s">
        <v>79</v>
      </c>
    </row>
    <row r="82" spans="1:5" x14ac:dyDescent="0.3">
      <c r="A82" s="1">
        <v>114.6388862851836</v>
      </c>
      <c r="B82" s="1">
        <v>138.39007730019179</v>
      </c>
      <c r="C82" s="1">
        <v>119.4475104006669</v>
      </c>
      <c r="D82" s="1">
        <v>156.4595201644637</v>
      </c>
      <c r="E82" s="5" t="s">
        <v>80</v>
      </c>
    </row>
    <row r="83" spans="1:5" x14ac:dyDescent="0.3">
      <c r="A83" s="3">
        <v>115.48839883052381</v>
      </c>
      <c r="B83" s="3">
        <v>138.6433070848216</v>
      </c>
      <c r="C83" s="3">
        <v>119.6559096627791</v>
      </c>
      <c r="D83" s="3">
        <v>156.65045198825919</v>
      </c>
      <c r="E83" s="4" t="s">
        <v>81</v>
      </c>
    </row>
    <row r="84" spans="1:5" x14ac:dyDescent="0.3">
      <c r="A84" s="1">
        <v>115.8168770147221</v>
      </c>
      <c r="B84" s="1">
        <v>139.52961133102599</v>
      </c>
      <c r="C84" s="1">
        <v>120.2579519755478</v>
      </c>
      <c r="D84" s="1">
        <v>157.22323117825891</v>
      </c>
      <c r="E84" s="5" t="s">
        <v>82</v>
      </c>
    </row>
    <row r="85" spans="1:5" x14ac:dyDescent="0.3">
      <c r="A85" s="3">
        <v>115.3751304911451</v>
      </c>
      <c r="B85" s="3">
        <v>139.9094560079707</v>
      </c>
      <c r="C85" s="3">
        <v>120.454773500876</v>
      </c>
      <c r="D85" s="3">
        <v>158.1191307720315</v>
      </c>
      <c r="E85" s="4" t="s">
        <v>83</v>
      </c>
    </row>
    <row r="86" spans="1:5" x14ac:dyDescent="0.3">
      <c r="A86" s="1">
        <v>108.1146299369704</v>
      </c>
      <c r="B86" s="1">
        <v>141.42883471574959</v>
      </c>
      <c r="C86" s="1">
        <v>121.3925701803811</v>
      </c>
      <c r="D86" s="1">
        <v>159.0003608362365</v>
      </c>
      <c r="E86" s="5" t="s">
        <v>84</v>
      </c>
    </row>
    <row r="87" spans="1:5" x14ac:dyDescent="0.3">
      <c r="A87" s="3">
        <v>109.3152743343846</v>
      </c>
      <c r="B87" s="3">
        <v>141.55544960806449</v>
      </c>
      <c r="C87" s="3">
        <v>122.0525011770699</v>
      </c>
      <c r="D87" s="3">
        <v>158.97097293294061</v>
      </c>
      <c r="E87" s="4" t="s">
        <v>85</v>
      </c>
    </row>
    <row r="88" spans="1:5" x14ac:dyDescent="0.3">
      <c r="A88" s="1">
        <v>110.062845374284</v>
      </c>
      <c r="B88" s="1">
        <v>142.4417538542688</v>
      </c>
      <c r="C88" s="1">
        <v>122.8397872783828</v>
      </c>
      <c r="D88" s="1">
        <v>160.01374691764519</v>
      </c>
      <c r="E88" s="5" t="s">
        <v>86</v>
      </c>
    </row>
    <row r="89" spans="1:5" x14ac:dyDescent="0.3">
      <c r="A89" s="3">
        <v>110.4479577281716</v>
      </c>
      <c r="B89" s="3">
        <v>143.581287885103</v>
      </c>
      <c r="C89" s="3">
        <v>123.6849620636158</v>
      </c>
      <c r="D89" s="3">
        <v>161.52649941566779</v>
      </c>
      <c r="E89" s="4" t="s">
        <v>87</v>
      </c>
    </row>
    <row r="90" spans="1:5" x14ac:dyDescent="0.3">
      <c r="A90" s="1">
        <v>112.0337144794734</v>
      </c>
      <c r="B90" s="1">
        <v>144.21436234667749</v>
      </c>
      <c r="C90" s="1">
        <v>124.4606704281447</v>
      </c>
      <c r="D90" s="1">
        <v>162.17272394182689</v>
      </c>
      <c r="E90" s="5" t="s">
        <v>88</v>
      </c>
    </row>
    <row r="91" spans="1:5" x14ac:dyDescent="0.3">
      <c r="A91" s="3">
        <v>113.0531295338817</v>
      </c>
      <c r="B91" s="3">
        <v>145.48051126982651</v>
      </c>
      <c r="C91" s="3">
        <v>125.2826897398097</v>
      </c>
      <c r="D91" s="3">
        <v>163.1567546827134</v>
      </c>
      <c r="E91" s="4" t="s">
        <v>89</v>
      </c>
    </row>
    <row r="92" spans="1:5" x14ac:dyDescent="0.3">
      <c r="A92" s="1">
        <v>112.87190019087581</v>
      </c>
      <c r="B92" s="1">
        <v>146.62004530066071</v>
      </c>
      <c r="C92" s="1">
        <v>125.8847320525784</v>
      </c>
      <c r="D92" s="1">
        <v>164.19957751157861</v>
      </c>
      <c r="E92" s="5" t="s">
        <v>90</v>
      </c>
    </row>
    <row r="93" spans="1:5" x14ac:dyDescent="0.3">
      <c r="A93" s="3">
        <v>112.92853436056519</v>
      </c>
      <c r="B93" s="3">
        <v>147.2531197622352</v>
      </c>
      <c r="C93" s="3">
        <v>125.7689546847382</v>
      </c>
      <c r="D93" s="3">
        <v>163.86173873407739</v>
      </c>
      <c r="E93" s="4" t="s">
        <v>91</v>
      </c>
    </row>
    <row r="94" spans="1:5" x14ac:dyDescent="0.3">
      <c r="A94" s="1">
        <v>113.17772470719829</v>
      </c>
      <c r="B94" s="1">
        <v>147.8861942238097</v>
      </c>
      <c r="C94" s="1">
        <v>125.9889316836345</v>
      </c>
      <c r="D94" s="1">
        <v>165.77105697203251</v>
      </c>
      <c r="E94" s="5" t="s">
        <v>92</v>
      </c>
    </row>
    <row r="95" spans="1:5" x14ac:dyDescent="0.3">
      <c r="A95" s="3">
        <v>113.551510227148</v>
      </c>
      <c r="B95" s="3">
        <v>149.2789580392737</v>
      </c>
      <c r="C95" s="3">
        <v>126.3825747342909</v>
      </c>
      <c r="D95" s="3">
        <v>165.59472955225709</v>
      </c>
      <c r="E95" s="4" t="s">
        <v>93</v>
      </c>
    </row>
    <row r="96" spans="1:5" x14ac:dyDescent="0.3">
      <c r="A96" s="1">
        <v>113.40426138595571</v>
      </c>
      <c r="B96" s="1">
        <v>150.67172185473771</v>
      </c>
      <c r="C96" s="1">
        <v>126.27837510323479</v>
      </c>
      <c r="D96" s="1">
        <v>165.74158766180221</v>
      </c>
      <c r="E96" s="5" t="s">
        <v>94</v>
      </c>
    </row>
    <row r="97" spans="1:5" x14ac:dyDescent="0.3">
      <c r="A97" s="3">
        <v>113.3363003823285</v>
      </c>
      <c r="B97" s="3">
        <v>151.1781814239973</v>
      </c>
      <c r="C97" s="3">
        <v>126.49835210213109</v>
      </c>
      <c r="D97" s="3">
        <v>166.8285330490784</v>
      </c>
      <c r="E97" s="4" t="s">
        <v>95</v>
      </c>
    </row>
    <row r="98" spans="1:5" x14ac:dyDescent="0.3">
      <c r="A98" s="1">
        <v>113.67610540046461</v>
      </c>
      <c r="B98" s="1">
        <v>153.71047927029539</v>
      </c>
      <c r="C98" s="1">
        <v>127.43614878163621</v>
      </c>
      <c r="D98" s="1">
        <v>167.40131223907809</v>
      </c>
      <c r="E98" s="5" t="s">
        <v>96</v>
      </c>
    </row>
    <row r="99" spans="1:5" x14ac:dyDescent="0.3">
      <c r="A99" s="3">
        <v>122.3864406986867</v>
      </c>
      <c r="B99" s="3">
        <v>153.71047927029539</v>
      </c>
      <c r="C99" s="3">
        <v>127.7371699380205</v>
      </c>
      <c r="D99" s="3">
        <v>167.6655591479381</v>
      </c>
      <c r="E99" s="4" t="s">
        <v>97</v>
      </c>
    </row>
    <row r="100" spans="1:5" x14ac:dyDescent="0.3">
      <c r="A100" s="1">
        <v>122.05796251448849</v>
      </c>
      <c r="B100" s="1">
        <v>153.33063459335071</v>
      </c>
      <c r="C100" s="1">
        <v>127.9571469369168</v>
      </c>
      <c r="D100" s="1">
        <v>167.95927536702831</v>
      </c>
      <c r="E100" s="5" t="s">
        <v>98</v>
      </c>
    </row>
    <row r="101" spans="1:5" x14ac:dyDescent="0.3">
      <c r="A101" s="3">
        <v>122.28449919324591</v>
      </c>
      <c r="B101" s="3">
        <v>153.0774048087209</v>
      </c>
      <c r="C101" s="3">
        <v>128.24659035651709</v>
      </c>
      <c r="D101" s="3">
        <v>168.5174013088471</v>
      </c>
      <c r="E101" s="4" t="s">
        <v>99</v>
      </c>
    </row>
    <row r="102" spans="1:5" x14ac:dyDescent="0.3">
      <c r="A102" s="1">
        <v>121.4123329800299</v>
      </c>
      <c r="B102" s="1">
        <v>153.0774048087209</v>
      </c>
      <c r="C102" s="1">
        <v>128.66338888074159</v>
      </c>
      <c r="D102" s="1">
        <v>168.66425941839231</v>
      </c>
      <c r="E102" s="5" t="s">
        <v>100</v>
      </c>
    </row>
    <row r="103" spans="1:5" x14ac:dyDescent="0.3">
      <c r="A103" s="3">
        <v>122.1372503520536</v>
      </c>
      <c r="B103" s="3">
        <v>153.33063459335071</v>
      </c>
      <c r="C103" s="3">
        <v>128.69812209109361</v>
      </c>
      <c r="D103" s="3">
        <v>168.89936264475941</v>
      </c>
      <c r="E103" s="4" t="s">
        <v>101</v>
      </c>
    </row>
    <row r="104" spans="1:5" x14ac:dyDescent="0.3">
      <c r="A104" s="1">
        <v>122.1259235181157</v>
      </c>
      <c r="B104" s="1">
        <v>153.45724948566561</v>
      </c>
      <c r="C104" s="1">
        <v>128.84863266928579</v>
      </c>
      <c r="D104" s="1">
        <v>169.25185467044139</v>
      </c>
      <c r="E104" s="5" t="s">
        <v>102</v>
      </c>
    </row>
    <row r="105" spans="1:5" x14ac:dyDescent="0.3">
      <c r="A105" s="3">
        <v>122.79420672045011</v>
      </c>
      <c r="B105" s="3">
        <v>155.1032430857594</v>
      </c>
      <c r="C105" s="3">
        <v>129.99482861090311</v>
      </c>
      <c r="D105" s="3">
        <v>169.22238536021109</v>
      </c>
      <c r="E105" s="4" t="s">
        <v>103</v>
      </c>
    </row>
    <row r="106" spans="1:5" x14ac:dyDescent="0.3">
      <c r="A106" s="1">
        <v>122.3524601968731</v>
      </c>
      <c r="B106" s="1">
        <v>156.87585157816801</v>
      </c>
      <c r="C106" s="1">
        <v>130.6547596075919</v>
      </c>
      <c r="D106" s="1">
        <v>169.5455708895316</v>
      </c>
      <c r="E106" s="5" t="s">
        <v>104</v>
      </c>
    </row>
    <row r="107" spans="1:5" x14ac:dyDescent="0.3">
      <c r="A107" s="3">
        <v>122.01265517873701</v>
      </c>
      <c r="B107" s="3">
        <v>156.6226217935382</v>
      </c>
      <c r="C107" s="3">
        <v>131.14102455252049</v>
      </c>
      <c r="D107" s="3">
        <v>169.83928710862179</v>
      </c>
      <c r="E107" s="4" t="s">
        <v>105</v>
      </c>
    </row>
    <row r="108" spans="1:5" x14ac:dyDescent="0.3">
      <c r="A108" s="1">
        <v>121.7068306624145</v>
      </c>
      <c r="B108" s="1">
        <v>156.87585157816801</v>
      </c>
      <c r="C108" s="1">
        <v>130.45793808226369</v>
      </c>
      <c r="D108" s="1">
        <v>170.48549535339399</v>
      </c>
      <c r="E108" s="5" t="s">
        <v>106</v>
      </c>
    </row>
    <row r="109" spans="1:5" x14ac:dyDescent="0.3">
      <c r="A109" s="3">
        <v>121.1518157994589</v>
      </c>
      <c r="B109" s="3">
        <v>157.12908136279779</v>
      </c>
      <c r="C109" s="3">
        <v>130.51582676618369</v>
      </c>
      <c r="D109" s="3">
        <v>171.19047940475801</v>
      </c>
      <c r="E109" s="4" t="s">
        <v>107</v>
      </c>
    </row>
    <row r="110" spans="1:5" x14ac:dyDescent="0.3">
      <c r="A110" s="1">
        <v>121.1744694673346</v>
      </c>
      <c r="B110" s="1">
        <v>158.01538560900221</v>
      </c>
      <c r="C110" s="1">
        <v>131.0252471846803</v>
      </c>
      <c r="D110" s="1">
        <v>171.26390845953051</v>
      </c>
      <c r="E110" s="5" t="s">
        <v>108</v>
      </c>
    </row>
    <row r="111" spans="1:5" x14ac:dyDescent="0.3">
      <c r="A111" s="3">
        <v>121.4463134818435</v>
      </c>
      <c r="B111" s="3">
        <v>158.90168985520651</v>
      </c>
      <c r="C111" s="3">
        <v>131.7314891285051</v>
      </c>
      <c r="D111" s="3">
        <v>171.89888254736411</v>
      </c>
      <c r="E111" s="4" t="s">
        <v>109</v>
      </c>
    </row>
    <row r="112" spans="1:5" x14ac:dyDescent="0.3">
      <c r="A112" s="1">
        <v>121.48029398365711</v>
      </c>
      <c r="B112" s="1">
        <v>159.02830474752139</v>
      </c>
      <c r="C112" s="1">
        <v>131.92831065383339</v>
      </c>
      <c r="D112" s="1">
        <v>172.79435882507821</v>
      </c>
      <c r="E112" s="5" t="s">
        <v>110</v>
      </c>
    </row>
    <row r="113" spans="1:5" x14ac:dyDescent="0.3">
      <c r="A113" s="3">
        <v>123.85892911060991</v>
      </c>
      <c r="B113" s="3">
        <v>158.90168985520651</v>
      </c>
      <c r="C113" s="3">
        <v>131.99777707453751</v>
      </c>
      <c r="D113" s="3">
        <v>173.23395627050141</v>
      </c>
      <c r="E113" s="4" t="s">
        <v>111</v>
      </c>
    </row>
    <row r="114" spans="1:5" x14ac:dyDescent="0.3">
      <c r="A114" s="1">
        <v>124.87834416501811</v>
      </c>
      <c r="B114" s="1">
        <v>159.02830474752139</v>
      </c>
      <c r="C114" s="1">
        <v>132.10197670559359</v>
      </c>
      <c r="D114" s="1">
        <v>173.1851121098988</v>
      </c>
      <c r="E114" s="5" t="s">
        <v>112</v>
      </c>
    </row>
    <row r="115" spans="1:5" x14ac:dyDescent="0.3">
      <c r="A115" s="3">
        <v>124.3346561360004</v>
      </c>
      <c r="B115" s="3">
        <v>159.02830474752139</v>
      </c>
      <c r="C115" s="3">
        <v>131.80095554920919</v>
      </c>
      <c r="D115" s="3">
        <v>173.0385796280911</v>
      </c>
      <c r="E115" s="4" t="s">
        <v>113</v>
      </c>
    </row>
    <row r="116" spans="1:5" x14ac:dyDescent="0.3">
      <c r="A116" s="1">
        <v>124.60650015050931</v>
      </c>
      <c r="B116" s="1">
        <v>160.16783877835559</v>
      </c>
      <c r="C116" s="1">
        <v>132.1367099159456</v>
      </c>
      <c r="D116" s="1">
        <v>172.7292332776081</v>
      </c>
      <c r="E116" s="5" t="s">
        <v>114</v>
      </c>
    </row>
    <row r="117" spans="1:5" x14ac:dyDescent="0.3">
      <c r="A117" s="3">
        <v>124.7764026595773</v>
      </c>
      <c r="B117" s="3">
        <v>160.29445367067049</v>
      </c>
      <c r="C117" s="3">
        <v>132.61139712409019</v>
      </c>
      <c r="D117" s="3">
        <v>172.68038911700549</v>
      </c>
      <c r="E117" s="4" t="s">
        <v>115</v>
      </c>
    </row>
    <row r="118" spans="1:5" x14ac:dyDescent="0.3">
      <c r="A118" s="1">
        <v>123.10003123677249</v>
      </c>
      <c r="B118" s="1">
        <v>159.91460899372581</v>
      </c>
      <c r="C118" s="1">
        <v>132.7387522287143</v>
      </c>
      <c r="D118" s="1">
        <v>172.4687310877276</v>
      </c>
      <c r="E118" s="5" t="s">
        <v>116</v>
      </c>
    </row>
    <row r="119" spans="1:5" x14ac:dyDescent="0.3">
      <c r="A119" s="3">
        <v>122.28797243036099</v>
      </c>
      <c r="B119" s="3">
        <v>160.16783877835559</v>
      </c>
      <c r="C119" s="3">
        <v>132.78506317585041</v>
      </c>
      <c r="D119" s="3">
        <v>172.59898218266781</v>
      </c>
      <c r="E119" s="4" t="s">
        <v>117</v>
      </c>
    </row>
    <row r="120" spans="1:5" x14ac:dyDescent="0.3">
      <c r="A120" s="1">
        <v>122.13022846909929</v>
      </c>
      <c r="B120" s="1">
        <v>160.80091323993011</v>
      </c>
      <c r="C120" s="1">
        <v>132.449308809114</v>
      </c>
      <c r="D120" s="1">
        <v>173.11998656242869</v>
      </c>
      <c r="E120" s="5" t="s">
        <v>118</v>
      </c>
    </row>
    <row r="121" spans="1:5" x14ac:dyDescent="0.3">
      <c r="A121" s="3">
        <v>121.91181375350629</v>
      </c>
      <c r="B121" s="3">
        <v>161.6872174861345</v>
      </c>
      <c r="C121" s="3">
        <v>133.0397733850987</v>
      </c>
      <c r="D121" s="3">
        <v>173.88521174520261</v>
      </c>
      <c r="E121" s="4" t="s">
        <v>119</v>
      </c>
    </row>
    <row r="122" spans="1:5" x14ac:dyDescent="0.3">
      <c r="A122" s="1">
        <v>122.0331552621691</v>
      </c>
      <c r="B122" s="1">
        <v>162.5735217323388</v>
      </c>
      <c r="C122" s="1">
        <v>133.96599232781969</v>
      </c>
      <c r="D122" s="1">
        <v>172.5664194089328</v>
      </c>
      <c r="E122" s="5" t="s">
        <v>120</v>
      </c>
    </row>
    <row r="123" spans="1:5" x14ac:dyDescent="0.3">
      <c r="A123" s="3">
        <v>122.0088869604366</v>
      </c>
      <c r="B123" s="3">
        <v>162.19367705539409</v>
      </c>
      <c r="C123" s="3">
        <v>134.3943685888282</v>
      </c>
      <c r="D123" s="3">
        <v>171.73606867868881</v>
      </c>
      <c r="E123" s="4" t="s">
        <v>121</v>
      </c>
    </row>
    <row r="124" spans="1:5" x14ac:dyDescent="0.3">
      <c r="A124" s="1">
        <v>121.76620394311099</v>
      </c>
      <c r="B124" s="1">
        <v>161.8138323784494</v>
      </c>
      <c r="C124" s="1">
        <v>134.63750106129251</v>
      </c>
      <c r="D124" s="1">
        <v>174.56902999363879</v>
      </c>
      <c r="E124" s="5" t="s">
        <v>122</v>
      </c>
    </row>
    <row r="125" spans="1:5" x14ac:dyDescent="0.3">
      <c r="B125" s="3">
        <v>161.1807579168748</v>
      </c>
      <c r="C125" s="3">
        <v>134.74170069234859</v>
      </c>
      <c r="D125" s="3">
        <v>176.60420335207979</v>
      </c>
      <c r="E125" s="4" t="s">
        <v>123</v>
      </c>
    </row>
    <row r="126" spans="1:5" x14ac:dyDescent="0.3">
      <c r="B126" s="1">
        <v>161.05414302455989</v>
      </c>
      <c r="C126" s="1">
        <v>134.6143455877245</v>
      </c>
      <c r="D126" s="1">
        <v>175.9529478773787</v>
      </c>
      <c r="E126" s="5" t="s">
        <v>124</v>
      </c>
    </row>
    <row r="127" spans="1:5" x14ac:dyDescent="0.3">
      <c r="B127" s="3">
        <v>161.1807579168748</v>
      </c>
      <c r="C127" s="3">
        <v>134.66065653486061</v>
      </c>
      <c r="D127" s="3">
        <v>176.27857561472919</v>
      </c>
      <c r="E127" s="4" t="s">
        <v>125</v>
      </c>
    </row>
    <row r="128" spans="1:5" x14ac:dyDescent="0.3">
      <c r="B128" s="1">
        <v>161.6872174861345</v>
      </c>
      <c r="C128" s="1">
        <v>134.9037890073248</v>
      </c>
      <c r="D128" s="1">
        <v>176.81586138135771</v>
      </c>
      <c r="E128" s="5" t="s">
        <v>126</v>
      </c>
    </row>
    <row r="129" spans="2:5" x14ac:dyDescent="0.3">
      <c r="B129" s="3">
        <v>162.70013662465371</v>
      </c>
      <c r="C129" s="3">
        <v>134.82274484983671</v>
      </c>
      <c r="D129" s="3">
        <v>176.6693288995499</v>
      </c>
      <c r="E129" s="4" t="s">
        <v>127</v>
      </c>
    </row>
    <row r="130" spans="2:5" x14ac:dyDescent="0.3">
      <c r="B130" s="1">
        <v>162.70013662465371</v>
      </c>
      <c r="C130" s="1">
        <v>135.5289867936616</v>
      </c>
      <c r="D130" s="1">
        <v>177.04380079750311</v>
      </c>
      <c r="E130" s="5" t="s">
        <v>128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D4A7-B658-40A9-B866-22F7353452A3}">
  <dimension ref="A1:Z130"/>
  <sheetViews>
    <sheetView workbookViewId="0">
      <selection activeCell="F2" sqref="F2"/>
    </sheetView>
  </sheetViews>
  <sheetFormatPr defaultRowHeight="14.4" x14ac:dyDescent="0.3"/>
  <cols>
    <col min="3" max="3" width="12" bestFit="1" customWidth="1"/>
    <col min="24" max="24" width="9.5546875" bestFit="1" customWidth="1"/>
  </cols>
  <sheetData>
    <row r="1" spans="1:26" x14ac:dyDescent="0.3">
      <c r="A1" t="s">
        <v>131</v>
      </c>
      <c r="B1" t="s">
        <v>133</v>
      </c>
      <c r="C1" t="s">
        <v>132</v>
      </c>
      <c r="D1" t="s">
        <v>129</v>
      </c>
      <c r="E1" t="s">
        <v>130</v>
      </c>
    </row>
    <row r="2" spans="1:26" x14ac:dyDescent="0.3">
      <c r="A2" s="2" t="s">
        <v>0</v>
      </c>
      <c r="B2">
        <f>CPI!A2/CPI!$A$2*100</f>
        <v>100</v>
      </c>
      <c r="C2">
        <f>CPI!B2/CPI!$B$2*100</f>
        <v>100</v>
      </c>
      <c r="D2">
        <f>CPI!C2/CPI!$C$2*100</f>
        <v>100</v>
      </c>
      <c r="E2">
        <f>CPI!D2/CPI!$D$2*100</f>
        <v>100</v>
      </c>
      <c r="W2" t="s">
        <v>133</v>
      </c>
      <c r="X2" t="s">
        <v>132</v>
      </c>
      <c r="Y2" t="s">
        <v>129</v>
      </c>
      <c r="Z2" t="s">
        <v>130</v>
      </c>
    </row>
    <row r="3" spans="1:26" x14ac:dyDescent="0.3">
      <c r="A3" s="4" t="s">
        <v>1</v>
      </c>
      <c r="B3">
        <f>CPI!A3/CPI!$A$2*100</f>
        <v>100.1226183738917</v>
      </c>
      <c r="C3">
        <f>CPI!B3/CPI!$B$2*100</f>
        <v>100.09363295880146</v>
      </c>
      <c r="D3">
        <f>CPI!C3/CPI!$C$2*100</f>
        <v>99.940830277992006</v>
      </c>
      <c r="E3">
        <f>CPI!D3/CPI!$D$2*100</f>
        <v>99.637771033492314</v>
      </c>
      <c r="V3" t="s">
        <v>136</v>
      </c>
      <c r="W3">
        <f>MIN(B2:B130)</f>
        <v>98.237434252528686</v>
      </c>
      <c r="X3">
        <f t="shared" ref="X3:Z3" si="0">MIN(C2:C130)</f>
        <v>100</v>
      </c>
      <c r="Y3">
        <f t="shared" si="0"/>
        <v>99.940830277992006</v>
      </c>
      <c r="Z3">
        <f t="shared" si="0"/>
        <v>99.637771033492314</v>
      </c>
    </row>
    <row r="4" spans="1:26" x14ac:dyDescent="0.3">
      <c r="A4" s="5" t="s">
        <v>2</v>
      </c>
      <c r="B4">
        <f>CPI!A4/CPI!$A$2*100</f>
        <v>100.29239766081869</v>
      </c>
      <c r="C4">
        <f>CPI!B4/CPI!$B$2*100</f>
        <v>100</v>
      </c>
      <c r="D4">
        <f>CPI!C4/CPI!$C$2*100</f>
        <v>99.950339697600427</v>
      </c>
      <c r="E4">
        <f>CPI!D4/CPI!$D$2*100</f>
        <v>99.806251945126874</v>
      </c>
      <c r="V4" t="s">
        <v>137</v>
      </c>
      <c r="W4">
        <f>MAX(B2:B130)</f>
        <v>113.46963987785522</v>
      </c>
      <c r="X4">
        <f t="shared" ref="X4:Z4" si="1">MAX(C2:C130)</f>
        <v>141.23790092631126</v>
      </c>
      <c r="Y4">
        <f t="shared" si="1"/>
        <v>123.68585104022488</v>
      </c>
      <c r="Z4">
        <f t="shared" si="1"/>
        <v>135.7484760754235</v>
      </c>
    </row>
    <row r="5" spans="1:26" x14ac:dyDescent="0.3">
      <c r="A5" s="4" t="s">
        <v>3</v>
      </c>
      <c r="B5">
        <f>CPI!A5/CPI!$A$2*100</f>
        <v>100.31126202603278</v>
      </c>
      <c r="C5">
        <f>CPI!B5/CPI!$B$2*100</f>
        <v>100.18726591760303</v>
      </c>
      <c r="D5">
        <f>CPI!C5/CPI!$C$2*100</f>
        <v>99.980981160783173</v>
      </c>
      <c r="E5">
        <f>CPI!D5/CPI!$D$2*100</f>
        <v>100.16848091163457</v>
      </c>
      <c r="V5" t="s">
        <v>140</v>
      </c>
      <c r="W5">
        <f>AVERAGE(B2:B130)</f>
        <v>103.77100969559285</v>
      </c>
      <c r="X5">
        <f t="shared" ref="X5:Z5" si="2">AVERAGE(C2:C130)</f>
        <v>117.99011673010422</v>
      </c>
      <c r="Y5">
        <f t="shared" si="2"/>
        <v>109.10820564623633</v>
      </c>
      <c r="Z5">
        <f t="shared" si="2"/>
        <v>118.13682172579715</v>
      </c>
    </row>
    <row r="6" spans="1:26" x14ac:dyDescent="0.3">
      <c r="A6" s="5" t="s">
        <v>4</v>
      </c>
      <c r="B6">
        <f>CPI!A6/CPI!$A$2*100</f>
        <v>100.48104131295976</v>
      </c>
      <c r="C6">
        <f>CPI!B6/CPI!$B$2*100</f>
        <v>100.09363295880146</v>
      </c>
      <c r="D6">
        <f>CPI!C6/CPI!$C$2*100</f>
        <v>100.26098073814225</v>
      </c>
      <c r="E6">
        <f>CPI!D6/CPI!$D$2*100</f>
        <v>100.66549710420314</v>
      </c>
      <c r="V6" t="s">
        <v>138</v>
      </c>
      <c r="W6">
        <f>_xlfn.STDEV.S(B2:B130)</f>
        <v>4.1064010058680802</v>
      </c>
      <c r="X6">
        <f t="shared" ref="X6:Z6" si="3">_xlfn.STDEV.S(C2:C130)</f>
        <v>13.855341396690326</v>
      </c>
      <c r="Y6">
        <f t="shared" si="3"/>
        <v>7.5395093719811301</v>
      </c>
      <c r="Z6">
        <f t="shared" si="3"/>
        <v>10.473268145569339</v>
      </c>
    </row>
    <row r="7" spans="1:26" x14ac:dyDescent="0.3">
      <c r="A7" s="4" t="s">
        <v>5</v>
      </c>
      <c r="B7">
        <f>CPI!A7/CPI!$A$2*100</f>
        <v>100.5847953216374</v>
      </c>
      <c r="C7">
        <f>CPI!B7/CPI!$B$2*100</f>
        <v>100.09363295880146</v>
      </c>
      <c r="D7">
        <f>CPI!C7/CPI!$C$2*100</f>
        <v>100.2810561795378</v>
      </c>
      <c r="E7">
        <f>CPI!D7/CPI!$D$2*100</f>
        <v>101.20462104091396</v>
      </c>
      <c r="V7" t="s">
        <v>139</v>
      </c>
      <c r="W7">
        <f>W6/W5</f>
        <v>3.9571755328525811E-2</v>
      </c>
      <c r="X7">
        <f t="shared" ref="X7:Z7" si="4">X6/X5</f>
        <v>0.11742798278930126</v>
      </c>
      <c r="Y7">
        <f t="shared" si="4"/>
        <v>6.9101213124397154E-2</v>
      </c>
      <c r="Z7">
        <f t="shared" si="4"/>
        <v>8.8653715180169998E-2</v>
      </c>
    </row>
    <row r="8" spans="1:26" x14ac:dyDescent="0.3">
      <c r="A8" s="5" t="s">
        <v>6</v>
      </c>
      <c r="B8">
        <f>CPI!A8/CPI!$A$2*100</f>
        <v>100.518770043388</v>
      </c>
      <c r="C8">
        <f>CPI!B8/CPI!$B$2*100</f>
        <v>100.28089887640452</v>
      </c>
      <c r="D8">
        <f>CPI!C8/CPI!$C$2*100</f>
        <v>100.46173515209789</v>
      </c>
      <c r="E8">
        <f>CPI!D8/CPI!$D$2*100</f>
        <v>102.14809417204106</v>
      </c>
    </row>
    <row r="9" spans="1:26" x14ac:dyDescent="0.3">
      <c r="A9" s="4" t="s">
        <v>7</v>
      </c>
      <c r="B9">
        <f>CPI!A9/CPI!$A$2*100</f>
        <v>100.29239766081869</v>
      </c>
      <c r="C9">
        <f>CPI!B9/CPI!$B$2*100</f>
        <v>100.28089887640452</v>
      </c>
      <c r="D9">
        <f>CPI!C9/CPI!$C$2*100</f>
        <v>100.60226324186684</v>
      </c>
      <c r="E9">
        <f>CPI!D9/CPI!$D$2*100</f>
        <v>102.54401682412239</v>
      </c>
    </row>
    <row r="10" spans="1:26" x14ac:dyDescent="0.3">
      <c r="A10" s="5" t="s">
        <v>8</v>
      </c>
      <c r="B10">
        <f>CPI!A10/CPI!$A$2*100</f>
        <v>100.24523674778338</v>
      </c>
      <c r="C10">
        <f>CPI!B10/CPI!$B$2*100</f>
        <v>100.09363295880146</v>
      </c>
      <c r="D10">
        <f>CPI!C10/CPI!$C$2*100</f>
        <v>100.3412825037245</v>
      </c>
      <c r="E10">
        <f>CPI!D10/CPI!$D$2*100</f>
        <v>102.4934700538787</v>
      </c>
    </row>
    <row r="11" spans="1:26" x14ac:dyDescent="0.3">
      <c r="A11" s="4" t="s">
        <v>9</v>
      </c>
      <c r="B11">
        <f>CPI!A11/CPI!$A$2*100</f>
        <v>100.44331258253155</v>
      </c>
      <c r="C11">
        <f>CPI!B11/CPI!$B$2*100</f>
        <v>100.18726591760303</v>
      </c>
      <c r="D11">
        <f>CPI!C11/CPI!$C$2*100</f>
        <v>100.3412825037245</v>
      </c>
      <c r="E11">
        <f>CPI!D11/CPI!$D$2*100</f>
        <v>102.40922959806149</v>
      </c>
      <c r="F11" t="s">
        <v>135</v>
      </c>
    </row>
    <row r="12" spans="1:26" x14ac:dyDescent="0.3">
      <c r="A12" s="5" t="s">
        <v>10</v>
      </c>
      <c r="B12">
        <f>CPI!A12/CPI!$A$2*100</f>
        <v>100.1226183738917</v>
      </c>
      <c r="C12">
        <f>CPI!B12/CPI!$B$2*100</f>
        <v>100.46816479400746</v>
      </c>
      <c r="D12">
        <f>CPI!C12/CPI!$C$2*100</f>
        <v>100.15109411155608</v>
      </c>
      <c r="E12">
        <f>CPI!D12/CPI!$D$2*100</f>
        <v>102.61983073760463</v>
      </c>
    </row>
    <row r="13" spans="1:26" x14ac:dyDescent="0.3">
      <c r="A13" s="4" t="s">
        <v>11</v>
      </c>
      <c r="B13">
        <f>CPI!A13/CPI!$A$2*100</f>
        <v>99.735898887002463</v>
      </c>
      <c r="C13">
        <f>CPI!B13/CPI!$B$2*100</f>
        <v>100.65543071161052</v>
      </c>
      <c r="D13">
        <f>CPI!C13/CPI!$C$2*100</f>
        <v>100.45116913031077</v>
      </c>
      <c r="E13">
        <f>CPI!D13/CPI!$D$2*100</f>
        <v>103.60542409664035</v>
      </c>
    </row>
    <row r="14" spans="1:26" x14ac:dyDescent="0.3">
      <c r="A14" s="5" t="s">
        <v>12</v>
      </c>
      <c r="B14">
        <f>CPI!A14/CPI!$A$2*100</f>
        <v>99.471797774004926</v>
      </c>
      <c r="C14">
        <f>CPI!B14/CPI!$B$2*100</f>
        <v>100.74906367041199</v>
      </c>
      <c r="D14">
        <f>CPI!C14/CPI!$C$2*100</f>
        <v>100.62233868326238</v>
      </c>
      <c r="E14">
        <f>CPI!D14/CPI!$D$2*100</f>
        <v>104.13613397478258</v>
      </c>
    </row>
    <row r="15" spans="1:26" x14ac:dyDescent="0.3">
      <c r="A15" s="4" t="s">
        <v>13</v>
      </c>
      <c r="B15">
        <f>CPI!A15/CPI!$A$2*100</f>
        <v>99.622712695717766</v>
      </c>
      <c r="C15">
        <f>CPI!B15/CPI!$B$2*100</f>
        <v>100.56179775280903</v>
      </c>
      <c r="D15">
        <f>CPI!C15/CPI!$C$2*100</f>
        <v>101.05343237217753</v>
      </c>
      <c r="E15">
        <f>CPI!D15/CPI!$D$2*100</f>
        <v>104.04346697663027</v>
      </c>
    </row>
    <row r="16" spans="1:26" x14ac:dyDescent="0.3">
      <c r="A16" s="5" t="s">
        <v>14</v>
      </c>
      <c r="B16">
        <f>CPI!A16/CPI!$A$2*100</f>
        <v>99.830220713073004</v>
      </c>
      <c r="C16">
        <f>CPI!B16/CPI!$B$2*100</f>
        <v>100.56179775280903</v>
      </c>
      <c r="D16">
        <f>CPI!C16/CPI!$C$2*100</f>
        <v>100.79245163403527</v>
      </c>
      <c r="E16">
        <f>CPI!D16/CPI!$D$2*100</f>
        <v>104.2456415738384</v>
      </c>
    </row>
    <row r="17" spans="1:5" x14ac:dyDescent="0.3">
      <c r="A17" s="4" t="s">
        <v>15</v>
      </c>
      <c r="B17">
        <f>CPI!A17/CPI!$A$2*100</f>
        <v>100.37728730428215</v>
      </c>
      <c r="C17">
        <f>CPI!B17/CPI!$B$2*100</f>
        <v>100.84269662921346</v>
      </c>
      <c r="D17">
        <f>CPI!C17/CPI!$C$2*100</f>
        <v>100.9826400262037</v>
      </c>
      <c r="E17">
        <f>CPI!D17/CPI!$D$2*100</f>
        <v>103.77390500827491</v>
      </c>
    </row>
    <row r="18" spans="1:5" x14ac:dyDescent="0.3">
      <c r="A18" s="5" t="s">
        <v>16</v>
      </c>
      <c r="B18">
        <f>CPI!A18/CPI!$A$2*100</f>
        <v>100.94321826070546</v>
      </c>
      <c r="C18">
        <f>CPI!B18/CPI!$B$2*100</f>
        <v>101.02996254681651</v>
      </c>
      <c r="D18">
        <f>CPI!C18/CPI!$C$2*100</f>
        <v>101.0428663503904</v>
      </c>
      <c r="E18">
        <f>CPI!D18/CPI!$D$2*100</f>
        <v>104.01819983339171</v>
      </c>
    </row>
    <row r="19" spans="1:5" x14ac:dyDescent="0.3">
      <c r="A19" s="4" t="s">
        <v>17</v>
      </c>
      <c r="B19">
        <f>CPI!A19/CPI!$A$2*100</f>
        <v>100.97151480852662</v>
      </c>
      <c r="C19">
        <f>CPI!B19/CPI!$B$2*100</f>
        <v>101.40449438202248</v>
      </c>
      <c r="D19">
        <f>CPI!C19/CPI!$C$2*100</f>
        <v>101.02279090899486</v>
      </c>
      <c r="E19">
        <f>CPI!D19/CPI!$D$2*100</f>
        <v>104.70053753849839</v>
      </c>
    </row>
    <row r="20" spans="1:5" x14ac:dyDescent="0.3">
      <c r="A20" s="5" t="s">
        <v>18</v>
      </c>
      <c r="B20">
        <f>CPI!A20/CPI!$A$2*100</f>
        <v>100.62252405206561</v>
      </c>
      <c r="C20">
        <f>CPI!B20/CPI!$B$2*100</f>
        <v>101.59176029962545</v>
      </c>
      <c r="D20">
        <f>CPI!C20/CPI!$C$2*100</f>
        <v>100.83260251682643</v>
      </c>
      <c r="E20">
        <f>CPI!D20/CPI!$D$2*100</f>
        <v>105.42498298774736</v>
      </c>
    </row>
    <row r="21" spans="1:5" x14ac:dyDescent="0.3">
      <c r="A21" s="4" t="s">
        <v>19</v>
      </c>
      <c r="B21">
        <f>CPI!A21/CPI!$A$2*100</f>
        <v>100.5847953216374</v>
      </c>
      <c r="C21">
        <f>CPI!B21/CPI!$B$2*100</f>
        <v>101.59176029962545</v>
      </c>
      <c r="D21">
        <f>CPI!C21/CPI!$C$2*100</f>
        <v>101.09252665278996</v>
      </c>
      <c r="E21">
        <f>CPI!D21/CPI!$D$2*100</f>
        <v>105.40812990307731</v>
      </c>
    </row>
    <row r="22" spans="1:5" x14ac:dyDescent="0.3">
      <c r="A22" s="5" t="s">
        <v>20</v>
      </c>
      <c r="B22">
        <f>CPI!A22/CPI!$A$2*100</f>
        <v>100.62252405206561</v>
      </c>
      <c r="C22">
        <f>CPI!B22/CPI!$B$2*100</f>
        <v>101.77902621722848</v>
      </c>
      <c r="D22">
        <f>CPI!C22/CPI!$C$2*100</f>
        <v>101.69478989465671</v>
      </c>
      <c r="E22">
        <f>CPI!D22/CPI!$D$2*100</f>
        <v>105.6440106696255</v>
      </c>
    </row>
    <row r="23" spans="1:5" x14ac:dyDescent="0.3">
      <c r="A23" s="4" t="s">
        <v>21</v>
      </c>
      <c r="B23">
        <f>CPI!A23/CPI!$A$2*100</f>
        <v>100.78287115638555</v>
      </c>
      <c r="C23">
        <f>CPI!B23/CPI!$B$2*100</f>
        <v>101.96629213483143</v>
      </c>
      <c r="D23">
        <f>CPI!C23/CPI!$C$2*100</f>
        <v>101.83426138224694</v>
      </c>
      <c r="E23">
        <f>CPI!D23/CPI!$D$2*100</f>
        <v>105.79563849659002</v>
      </c>
    </row>
    <row r="24" spans="1:5" x14ac:dyDescent="0.3">
      <c r="A24" s="5" t="s">
        <v>22</v>
      </c>
      <c r="B24">
        <f>CPI!A24/CPI!$A$2*100</f>
        <v>100.72627806074324</v>
      </c>
      <c r="C24">
        <f>CPI!B24/CPI!$B$2*100</f>
        <v>102.52808988764046</v>
      </c>
      <c r="D24">
        <f>CPI!C24/CPI!$C$2*100</f>
        <v>101.68422387286959</v>
      </c>
      <c r="E24">
        <f>CPI!D24/CPI!$D$2*100</f>
        <v>106.29264220539223</v>
      </c>
    </row>
    <row r="25" spans="1:5" x14ac:dyDescent="0.3">
      <c r="A25" s="4" t="s">
        <v>23</v>
      </c>
      <c r="B25">
        <f>CPI!A25/CPI!$A$2*100</f>
        <v>100.85832861724199</v>
      </c>
      <c r="C25">
        <f>CPI!B25/CPI!$B$2*100</f>
        <v>102.90262172284645</v>
      </c>
      <c r="D25">
        <f>CPI!C25/CPI!$C$2*100</f>
        <v>101.79516710163459</v>
      </c>
      <c r="E25">
        <f>CPI!D25/CPI!$D$2*100</f>
        <v>106.73911162771716</v>
      </c>
    </row>
    <row r="26" spans="1:5" x14ac:dyDescent="0.3">
      <c r="A26" s="5" t="s">
        <v>24</v>
      </c>
      <c r="B26">
        <f>CPI!A26/CPI!$A$2*100</f>
        <v>101.01536674483999</v>
      </c>
      <c r="C26">
        <f>CPI!B26/CPI!$B$2*100</f>
        <v>103.27715355805245</v>
      </c>
      <c r="D26">
        <f>CPI!C26/CPI!$C$2*100</f>
        <v>102.87712773263742</v>
      </c>
      <c r="E26">
        <f>CPI!D26/CPI!$D$2*100</f>
        <v>107.7752517569965</v>
      </c>
    </row>
    <row r="27" spans="1:5" x14ac:dyDescent="0.3">
      <c r="A27" s="4" t="s">
        <v>25</v>
      </c>
      <c r="B27">
        <f>CPI!A27/CPI!$A$2*100</f>
        <v>101.05547210136395</v>
      </c>
      <c r="C27">
        <f>CPI!B27/CPI!$B$2*100</f>
        <v>103.65168539325845</v>
      </c>
      <c r="D27">
        <f>CPI!C27/CPI!$C$2*100</f>
        <v>103.15818391217522</v>
      </c>
      <c r="E27">
        <f>CPI!D27/CPI!$D$2*100</f>
        <v>108.02797312444834</v>
      </c>
    </row>
    <row r="28" spans="1:5" x14ac:dyDescent="0.3">
      <c r="A28" s="5" t="s">
        <v>26</v>
      </c>
      <c r="B28">
        <f>CPI!A28/CPI!$A$2*100</f>
        <v>100.59426050133789</v>
      </c>
      <c r="C28">
        <f>CPI!B28/CPI!$B$2*100</f>
        <v>103.65168539325845</v>
      </c>
      <c r="D28">
        <f>CPI!C28/CPI!$C$2*100</f>
        <v>103.08739156620139</v>
      </c>
      <c r="E28">
        <f>CPI!D28/CPI!$D$2*100</f>
        <v>108.01112003977829</v>
      </c>
    </row>
    <row r="29" spans="1:5" x14ac:dyDescent="0.3">
      <c r="A29" s="4" t="s">
        <v>27</v>
      </c>
      <c r="B29">
        <f>CPI!A29/CPI!$A$2*100</f>
        <v>100.75468192743386</v>
      </c>
      <c r="C29">
        <f>CPI!B29/CPI!$B$2*100</f>
        <v>104.02621722846443</v>
      </c>
      <c r="D29">
        <f>CPI!C29/CPI!$C$2*100</f>
        <v>102.95742949821967</v>
      </c>
      <c r="E29">
        <f>CPI!D29/CPI!$D$2*100</f>
        <v>108.1037870379306</v>
      </c>
    </row>
    <row r="30" spans="1:5" x14ac:dyDescent="0.3">
      <c r="A30" s="5" t="s">
        <v>28</v>
      </c>
      <c r="B30">
        <f>CPI!A30/CPI!$A$2*100</f>
        <v>100.9050770143989</v>
      </c>
      <c r="C30">
        <f>CPI!B30/CPI!$B$2*100</f>
        <v>103.93258426966297</v>
      </c>
      <c r="D30">
        <f>CPI!C30/CPI!$C$2*100</f>
        <v>103.06731612480584</v>
      </c>
      <c r="E30">
        <f>CPI!D30/CPI!$D$2*100</f>
        <v>108.52497683325049</v>
      </c>
    </row>
    <row r="31" spans="1:5" x14ac:dyDescent="0.3">
      <c r="A31" s="4" t="s">
        <v>29</v>
      </c>
      <c r="B31">
        <f>CPI!A31/CPI!$A$2*100</f>
        <v>100.92512969266096</v>
      </c>
      <c r="C31">
        <f>CPI!B31/CPI!$B$2*100</f>
        <v>103.93258426966297</v>
      </c>
      <c r="D31">
        <f>CPI!C31/CPI!$C$2*100</f>
        <v>102.84754287163338</v>
      </c>
      <c r="E31">
        <f>CPI!D31/CPI!$D$2*100</f>
        <v>109.27470190950446</v>
      </c>
    </row>
    <row r="32" spans="1:5" x14ac:dyDescent="0.3">
      <c r="A32" s="5" t="s">
        <v>30</v>
      </c>
      <c r="B32">
        <f>CPI!A32/CPI!$A$2*100</f>
        <v>100.7947872839579</v>
      </c>
      <c r="C32">
        <f>CPI!B32/CPI!$B$2*100</f>
        <v>104.02621722846443</v>
      </c>
      <c r="D32">
        <f>CPI!C32/CPI!$C$2*100</f>
        <v>103.01765582240627</v>
      </c>
      <c r="E32">
        <f>CPI!D32/CPI!$D$2*100</f>
        <v>109.51057019228625</v>
      </c>
    </row>
    <row r="33" spans="1:5" x14ac:dyDescent="0.3">
      <c r="A33" s="4" t="s">
        <v>31</v>
      </c>
      <c r="B33">
        <f>CPI!A33/CPI!$A$2*100</f>
        <v>100.9050770143989</v>
      </c>
      <c r="C33">
        <f>CPI!B33/CPI!$B$2*100</f>
        <v>104.21348314606746</v>
      </c>
      <c r="D33">
        <f>CPI!C33/CPI!$C$2*100</f>
        <v>103.60829644030727</v>
      </c>
      <c r="E33">
        <f>CPI!D33/CPI!$D$2*100</f>
        <v>109.43475627880399</v>
      </c>
    </row>
    <row r="34" spans="1:5" x14ac:dyDescent="0.3">
      <c r="A34" s="5" t="s">
        <v>32</v>
      </c>
      <c r="B34">
        <f>CPI!A34/CPI!$A$2*100</f>
        <v>101.48660468399697</v>
      </c>
      <c r="C34">
        <f>CPI!B34/CPI!$B$2*100</f>
        <v>104.8689138576779</v>
      </c>
      <c r="D34">
        <f>CPI!C34/CPI!$C$2*100</f>
        <v>103.72874908868057</v>
      </c>
      <c r="E34">
        <f>CPI!D34/CPI!$D$2*100</f>
        <v>109.57797004719994</v>
      </c>
    </row>
    <row r="35" spans="1:5" x14ac:dyDescent="0.3">
      <c r="A35" s="4" t="s">
        <v>33</v>
      </c>
      <c r="B35">
        <f>CPI!A35/CPI!$A$2*100</f>
        <v>101.64702611009304</v>
      </c>
      <c r="C35">
        <f>CPI!B35/CPI!$B$2*100</f>
        <v>105.14981273408242</v>
      </c>
      <c r="D35">
        <f>CPI!C35/CPI!$C$2*100</f>
        <v>103.62837188170282</v>
      </c>
      <c r="E35">
        <f>CPI!D35/CPI!$D$2*100</f>
        <v>109.5863841057685</v>
      </c>
    </row>
    <row r="36" spans="1:5" x14ac:dyDescent="0.3">
      <c r="A36" s="5" t="s">
        <v>34</v>
      </c>
      <c r="B36">
        <f>CPI!A36/CPI!$A$2*100</f>
        <v>101.71721048401001</v>
      </c>
      <c r="C36">
        <f>CPI!B36/CPI!$B$2*100</f>
        <v>105.61797752808988</v>
      </c>
      <c r="D36">
        <f>CPI!C36/CPI!$C$2*100</f>
        <v>102.8570522912418</v>
      </c>
      <c r="E36">
        <f>CPI!D36/CPI!$D$2*100</f>
        <v>109.80541178764669</v>
      </c>
    </row>
    <row r="37" spans="1:5" x14ac:dyDescent="0.3">
      <c r="A37" s="4" t="s">
        <v>35</v>
      </c>
      <c r="B37">
        <f>CPI!A37/CPI!$A$2*100</f>
        <v>101.63699977096201</v>
      </c>
      <c r="C37">
        <f>CPI!B37/CPI!$B$2*100</f>
        <v>105.89887640449437</v>
      </c>
      <c r="D37">
        <f>CPI!C37/CPI!$C$2*100</f>
        <v>103.22791965597034</v>
      </c>
      <c r="E37">
        <f>CPI!D37/CPI!$D$2*100</f>
        <v>110.58883054947424</v>
      </c>
    </row>
    <row r="38" spans="1:5" x14ac:dyDescent="0.3">
      <c r="A38" s="5" t="s">
        <v>36</v>
      </c>
      <c r="B38">
        <f>CPI!A38/CPI!$A$2*100</f>
        <v>101.70718414487907</v>
      </c>
      <c r="C38">
        <f>CPI!B38/CPI!$B$2*100</f>
        <v>106.83520599250933</v>
      </c>
      <c r="D38">
        <f>CPI!C38/CPI!$C$2*100</f>
        <v>103.65901334488557</v>
      </c>
      <c r="E38">
        <f>CPI!D38/CPI!$D$2*100</f>
        <v>111.27958231314959</v>
      </c>
    </row>
    <row r="39" spans="1:5" x14ac:dyDescent="0.3">
      <c r="A39" s="4" t="s">
        <v>37</v>
      </c>
      <c r="B39">
        <f>CPI!A39/CPI!$A$2*100</f>
        <v>101.47657834486603</v>
      </c>
      <c r="C39">
        <f>CPI!B39/CPI!$B$2*100</f>
        <v>107.60459533607683</v>
      </c>
      <c r="D39">
        <f>CPI!C39/CPI!$C$2*100</f>
        <v>104.4504083767421</v>
      </c>
      <c r="E39">
        <f>CPI!D39/CPI!$D$2*100</f>
        <v>111.46491630945413</v>
      </c>
    </row>
    <row r="40" spans="1:5" x14ac:dyDescent="0.3">
      <c r="A40" s="5" t="s">
        <v>38</v>
      </c>
      <c r="B40">
        <f>CPI!A40/CPI!$A$2*100</f>
        <v>101.38634129268702</v>
      </c>
      <c r="C40">
        <f>CPI!B40/CPI!$B$2*100</f>
        <v>108.15415915291071</v>
      </c>
      <c r="D40">
        <f>CPI!C40/CPI!$C$2*100</f>
        <v>104.34052175015583</v>
      </c>
      <c r="E40">
        <f>CPI!D40/CPI!$D$2*100</f>
        <v>111.68393150756586</v>
      </c>
    </row>
    <row r="41" spans="1:5" x14ac:dyDescent="0.3">
      <c r="A41" s="4" t="s">
        <v>39</v>
      </c>
      <c r="B41">
        <f>CPI!A41/CPI!$A$2*100</f>
        <v>101.83752655358202</v>
      </c>
      <c r="C41">
        <f>CPI!B41/CPI!$B$2*100</f>
        <v>108.5938102063778</v>
      </c>
      <c r="D41">
        <f>CPI!C41/CPI!$C$2*100</f>
        <v>104.53071014232434</v>
      </c>
      <c r="E41">
        <f>CPI!D41/CPI!$D$2*100</f>
        <v>111.7934515903882</v>
      </c>
    </row>
    <row r="42" spans="1:5" x14ac:dyDescent="0.3">
      <c r="A42" s="5" t="s">
        <v>40</v>
      </c>
      <c r="B42">
        <f>CPI!A42/CPI!$A$2*100</f>
        <v>102.40902788404918</v>
      </c>
      <c r="C42">
        <f>CPI!B42/CPI!$B$2*100</f>
        <v>108.81363573311135</v>
      </c>
      <c r="D42">
        <f>CPI!C42/CPI!$C$2*100</f>
        <v>104.58142704690255</v>
      </c>
      <c r="E42">
        <f>CPI!D42/CPI!$D$2*100</f>
        <v>112.02931987316992</v>
      </c>
    </row>
    <row r="43" spans="1:5" x14ac:dyDescent="0.3">
      <c r="A43" s="4" t="s">
        <v>41</v>
      </c>
      <c r="B43">
        <f>CPI!A43/CPI!$A$2*100</f>
        <v>102.31879083187015</v>
      </c>
      <c r="C43">
        <f>CPI!B43/CPI!$B$2*100</f>
        <v>109.25328678657853</v>
      </c>
      <c r="D43">
        <f>CPI!C43/CPI!$C$2*100</f>
        <v>104.37010661115987</v>
      </c>
      <c r="E43">
        <f>CPI!D43/CPI!$D$2*100</f>
        <v>112.68637795127168</v>
      </c>
    </row>
    <row r="44" spans="1:5" x14ac:dyDescent="0.3">
      <c r="A44" s="5" t="s">
        <v>42</v>
      </c>
      <c r="B44">
        <f>CPI!A44/CPI!$A$2*100</f>
        <v>102.2644681264584</v>
      </c>
      <c r="C44">
        <f>CPI!B44/CPI!$B$2*100</f>
        <v>110.13258889351272</v>
      </c>
      <c r="D44">
        <f>CPI!C44/CPI!$C$2*100</f>
        <v>104.17040879938293</v>
      </c>
      <c r="E44">
        <f>CPI!D44/CPI!$D$2*100</f>
        <v>112.99807263130211</v>
      </c>
    </row>
    <row r="45" spans="1:5" x14ac:dyDescent="0.3">
      <c r="A45" s="4" t="s">
        <v>43</v>
      </c>
      <c r="B45">
        <f>CPI!A45/CPI!$A$2*100</f>
        <v>102.53937029275212</v>
      </c>
      <c r="C45">
        <f>CPI!B45/CPI!$B$2*100</f>
        <v>111.1218037638138</v>
      </c>
      <c r="D45">
        <f>CPI!C45/CPI!$C$2*100</f>
        <v>105.09176589922131</v>
      </c>
      <c r="E45">
        <f>CPI!D45/CPI!$D$2*100</f>
        <v>112.93909931872346</v>
      </c>
    </row>
    <row r="46" spans="1:5" x14ac:dyDescent="0.3">
      <c r="A46" s="5" t="s">
        <v>44</v>
      </c>
      <c r="B46">
        <f>CPI!A46/CPI!$A$2*100</f>
        <v>102.84016046668221</v>
      </c>
      <c r="C46">
        <f>CPI!B46/CPI!$B$2*100</f>
        <v>112.22093139748152</v>
      </c>
      <c r="D46">
        <f>CPI!C46/CPI!$C$2*100</f>
        <v>105.89372695286498</v>
      </c>
      <c r="E46">
        <f>CPI!D46/CPI!$D$2*100</f>
        <v>112.73692472151531</v>
      </c>
    </row>
    <row r="47" spans="1:5" x14ac:dyDescent="0.3">
      <c r="A47" s="4" t="s">
        <v>45</v>
      </c>
      <c r="B47">
        <f>CPI!A47/CPI!$A$2*100</f>
        <v>102.90031850146823</v>
      </c>
      <c r="C47">
        <f>CPI!B47/CPI!$B$2*100</f>
        <v>112.44075692421509</v>
      </c>
      <c r="D47">
        <f>CPI!C47/CPI!$C$2*100</f>
        <v>105.70353856069654</v>
      </c>
      <c r="E47">
        <f>CPI!D47/CPI!$D$2*100</f>
        <v>113.04860691777935</v>
      </c>
    </row>
    <row r="48" spans="1:5" x14ac:dyDescent="0.3">
      <c r="A48" s="5" t="s">
        <v>46</v>
      </c>
      <c r="B48">
        <f>CPI!A48/CPI!$A$2*100</f>
        <v>102.6697127014552</v>
      </c>
      <c r="C48">
        <f>CPI!B48/CPI!$B$2*100</f>
        <v>112.11101863411474</v>
      </c>
      <c r="D48">
        <f>CPI!C48/CPI!$C$2*100</f>
        <v>104.95229441163107</v>
      </c>
      <c r="E48">
        <f>CPI!D48/CPI!$D$2*100</f>
        <v>113.35187505547475</v>
      </c>
    </row>
    <row r="49" spans="1:5" x14ac:dyDescent="0.3">
      <c r="A49" s="4" t="s">
        <v>47</v>
      </c>
      <c r="B49">
        <f>CPI!A49/CPI!$A$2*100</f>
        <v>101.99794797967809</v>
      </c>
      <c r="C49">
        <f>CPI!B49/CPI!$B$2*100</f>
        <v>111.4515420539141</v>
      </c>
      <c r="D49">
        <f>CPI!C49/CPI!$C$2*100</f>
        <v>104.59093646651094</v>
      </c>
      <c r="E49">
        <f>CPI!D49/CPI!$D$2*100</f>
        <v>114.05105336148512</v>
      </c>
    </row>
    <row r="50" spans="1:5" x14ac:dyDescent="0.3">
      <c r="A50" s="5" t="s">
        <v>48</v>
      </c>
      <c r="B50">
        <f>CPI!A50/CPI!$A$2*100</f>
        <v>101.97789530141613</v>
      </c>
      <c r="C50">
        <f>CPI!B50/CPI!$B$2*100</f>
        <v>111.56145481728088</v>
      </c>
      <c r="D50">
        <f>CPI!C50/CPI!$C$2*100</f>
        <v>104.48104983992476</v>
      </c>
      <c r="E50">
        <f>CPI!D50/CPI!$D$2*100</f>
        <v>114.42169638656136</v>
      </c>
    </row>
    <row r="51" spans="1:5" x14ac:dyDescent="0.3">
      <c r="A51" s="4" t="s">
        <v>49</v>
      </c>
      <c r="B51">
        <f>CPI!A51/CPI!$A$2*100</f>
        <v>102.21852744056008</v>
      </c>
      <c r="C51">
        <f>CPI!B51/CPI!$B$2*100</f>
        <v>111.67136758064767</v>
      </c>
      <c r="D51">
        <f>CPI!C51/CPI!$C$2*100</f>
        <v>104.93221897023552</v>
      </c>
      <c r="E51">
        <f>CPI!D51/CPI!$D$2*100</f>
        <v>114.32904187217552</v>
      </c>
    </row>
    <row r="52" spans="1:5" x14ac:dyDescent="0.3">
      <c r="A52" s="5" t="s">
        <v>50</v>
      </c>
      <c r="B52">
        <f>CPI!A52/CPI!$A$2*100</f>
        <v>102.63963368406219</v>
      </c>
      <c r="C52">
        <f>CPI!B52/CPI!$B$2*100</f>
        <v>111.78128034401445</v>
      </c>
      <c r="D52">
        <f>CPI!C52/CPI!$C$2*100</f>
        <v>104.73146455627989</v>
      </c>
      <c r="E52">
        <f>CPI!D52/CPI!$D$2*100</f>
        <v>114.45540255590139</v>
      </c>
    </row>
    <row r="53" spans="1:5" x14ac:dyDescent="0.3">
      <c r="A53" s="4" t="s">
        <v>51</v>
      </c>
      <c r="B53">
        <f>CPI!A53/CPI!$A$2*100</f>
        <v>103.09081894495722</v>
      </c>
      <c r="C53">
        <f>CPI!B53/CPI!$B$2*100</f>
        <v>112.11101863411474</v>
      </c>
      <c r="D53">
        <f>CPI!C53/CPI!$C$2*100</f>
        <v>105.11184134061683</v>
      </c>
      <c r="E53">
        <f>CPI!D53/CPI!$D$2*100</f>
        <v>114.96083280703854</v>
      </c>
    </row>
    <row r="54" spans="1:5" x14ac:dyDescent="0.3">
      <c r="A54" s="5" t="s">
        <v>52</v>
      </c>
      <c r="B54">
        <f>CPI!A54/CPI!$A$2*100</f>
        <v>103.58210956237637</v>
      </c>
      <c r="C54">
        <f>CPI!B54/CPI!$B$2*100</f>
        <v>112.33084416084832</v>
      </c>
      <c r="D54">
        <f>CPI!C54/CPI!$C$2*100</f>
        <v>105.29252031317687</v>
      </c>
      <c r="E54">
        <f>CPI!D54/CPI!$D$2*100</f>
        <v>115.74425156886616</v>
      </c>
    </row>
    <row r="55" spans="1:5" x14ac:dyDescent="0.3">
      <c r="A55" s="4" t="s">
        <v>53</v>
      </c>
      <c r="B55">
        <f>CPI!A55/CPI!$A$2*100</f>
        <v>103.21113501452923</v>
      </c>
      <c r="C55">
        <f>CPI!B55/CPI!$B$2*100</f>
        <v>112.22093139748152</v>
      </c>
      <c r="D55">
        <f>CPI!C55/CPI!$C$2*100</f>
        <v>105.12240736240398</v>
      </c>
      <c r="E55">
        <f>CPI!D55/CPI!$D$2*100</f>
        <v>116.38446904606425</v>
      </c>
    </row>
    <row r="56" spans="1:5" x14ac:dyDescent="0.3">
      <c r="A56" s="5" t="s">
        <v>54</v>
      </c>
      <c r="B56">
        <f>CPI!A56/CPI!$A$2*100</f>
        <v>103.27129304931526</v>
      </c>
      <c r="C56">
        <f>CPI!B56/CPI!$B$2*100</f>
        <v>112.55066968758183</v>
      </c>
      <c r="D56">
        <f>CPI!C56/CPI!$C$2*100</f>
        <v>104.80120030007501</v>
      </c>
      <c r="E56">
        <f>CPI!D56/CPI!$D$2*100</f>
        <v>116.74669801257191</v>
      </c>
    </row>
    <row r="57" spans="1:5" x14ac:dyDescent="0.3">
      <c r="A57" s="4" t="s">
        <v>55</v>
      </c>
      <c r="B57">
        <f>CPI!A57/CPI!$A$2*100</f>
        <v>103.07076626669524</v>
      </c>
      <c r="C57">
        <f>CPI!B57/CPI!$B$2*100</f>
        <v>112.66058245094861</v>
      </c>
      <c r="D57">
        <f>CPI!C57/CPI!$C$2*100</f>
        <v>105.05267161860885</v>
      </c>
      <c r="E57">
        <f>CPI!D57/CPI!$D$2*100</f>
        <v>116.88147275486638</v>
      </c>
    </row>
    <row r="58" spans="1:5" x14ac:dyDescent="0.3">
      <c r="A58" s="5" t="s">
        <v>56</v>
      </c>
      <c r="B58">
        <f>CPI!A58/CPI!$A$2*100</f>
        <v>103.17102965800528</v>
      </c>
      <c r="C58">
        <f>CPI!B58/CPI!$B$2*100</f>
        <v>112.77049521431539</v>
      </c>
      <c r="D58">
        <f>CPI!C58/CPI!$C$2*100</f>
        <v>105.44255782255421</v>
      </c>
      <c r="E58">
        <f>CPI!D58/CPI!$D$2*100</f>
        <v>116.56136401626738</v>
      </c>
    </row>
    <row r="59" spans="1:5" x14ac:dyDescent="0.3">
      <c r="A59" s="4" t="s">
        <v>57</v>
      </c>
      <c r="B59">
        <f>CPI!A59/CPI!$A$2*100</f>
        <v>103.01060823190922</v>
      </c>
      <c r="C59">
        <f>CPI!B59/CPI!$B$2*100</f>
        <v>113.1002335044158</v>
      </c>
      <c r="D59">
        <f>CPI!C59/CPI!$C$2*100</f>
        <v>105.70353856069654</v>
      </c>
      <c r="E59">
        <f>CPI!D59/CPI!$D$2*100</f>
        <v>116.58663115950603</v>
      </c>
    </row>
    <row r="60" spans="1:5" x14ac:dyDescent="0.3">
      <c r="A60" s="5" t="s">
        <v>58</v>
      </c>
      <c r="B60">
        <f>CPI!A60/CPI!$A$2*100</f>
        <v>102.88026582320624</v>
      </c>
      <c r="C60">
        <f>CPI!B60/CPI!$B$2*100</f>
        <v>113.42997179451612</v>
      </c>
      <c r="D60">
        <f>CPI!C60/CPI!$C$2*100</f>
        <v>105.11184134061683</v>
      </c>
      <c r="E60">
        <f>CPI!D60/CPI!$D$2*100</f>
        <v>116.75512455490696</v>
      </c>
    </row>
    <row r="61" spans="1:5" x14ac:dyDescent="0.3">
      <c r="A61" s="4" t="s">
        <v>59</v>
      </c>
      <c r="B61">
        <f>CPI!A61/CPI!$A$2*100</f>
        <v>102.89029216233718</v>
      </c>
      <c r="C61">
        <f>CPI!B61/CPI!$B$2*100</f>
        <v>114.08944837471677</v>
      </c>
      <c r="D61">
        <f>CPI!C61/CPI!$C$2*100</f>
        <v>105.36331265915067</v>
      </c>
      <c r="E61">
        <f>CPI!D61/CPI!$D$2*100</f>
        <v>117.15103472322184</v>
      </c>
    </row>
    <row r="62" spans="1:5" x14ac:dyDescent="0.3">
      <c r="A62" s="5" t="s">
        <v>60</v>
      </c>
      <c r="B62">
        <f>CPI!A62/CPI!$A$2*100</f>
        <v>103.05071358843327</v>
      </c>
      <c r="C62">
        <f>CPI!B62/CPI!$B$2*100</f>
        <v>114.85883771828429</v>
      </c>
      <c r="D62">
        <f>CPI!C62/CPI!$C$2*100</f>
        <v>105.75531206745346</v>
      </c>
      <c r="E62">
        <f>CPI!D62/CPI!$D$2*100</f>
        <v>117.48799654649089</v>
      </c>
    </row>
    <row r="63" spans="1:5" x14ac:dyDescent="0.3">
      <c r="A63" s="4" t="s">
        <v>61</v>
      </c>
      <c r="B63">
        <f>CPI!A63/CPI!$A$2*100</f>
        <v>102.97050287538528</v>
      </c>
      <c r="C63">
        <f>CPI!B63/CPI!$B$2*100</f>
        <v>114.41918666481709</v>
      </c>
      <c r="D63">
        <f>CPI!C63/CPI!$C$2*100</f>
        <v>105.82927421996342</v>
      </c>
      <c r="E63">
        <f>CPI!D63/CPI!$D$2*100</f>
        <v>117.81457187609661</v>
      </c>
    </row>
    <row r="64" spans="1:5" x14ac:dyDescent="0.3">
      <c r="A64" s="5" t="s">
        <v>62</v>
      </c>
      <c r="B64">
        <f>CPI!A64/CPI!$A$2*100</f>
        <v>102.08818503185712</v>
      </c>
      <c r="C64">
        <f>CPI!B64/CPI!$B$2*100</f>
        <v>114.19936113808356</v>
      </c>
      <c r="D64">
        <f>CPI!C64/CPI!$C$2*100</f>
        <v>105.59682174064639</v>
      </c>
      <c r="E64">
        <f>CPI!D64/CPI!$D$2*100</f>
        <v>117.92717544922529</v>
      </c>
    </row>
    <row r="65" spans="1:5" x14ac:dyDescent="0.3">
      <c r="A65" s="4" t="s">
        <v>63</v>
      </c>
      <c r="B65">
        <f>CPI!A65/CPI!$A$2*100</f>
        <v>100.0127328317398</v>
      </c>
      <c r="C65">
        <f>CPI!B65/CPI!$B$2*100</f>
        <v>114.08944837471677</v>
      </c>
      <c r="D65">
        <f>CPI!C65/CPI!$C$2*100</f>
        <v>105.13191678201237</v>
      </c>
      <c r="E65">
        <f>CPI!D65/CPI!$D$2*100</f>
        <v>118.01727079149455</v>
      </c>
    </row>
    <row r="66" spans="1:5" x14ac:dyDescent="0.3">
      <c r="A66" s="5" t="s">
        <v>64</v>
      </c>
      <c r="B66">
        <f>CPI!A66/CPI!$A$2*100</f>
        <v>100.02275917087084</v>
      </c>
      <c r="C66">
        <f>CPI!B66/CPI!$B$2*100</f>
        <v>114.08944837471677</v>
      </c>
      <c r="D66">
        <f>CPI!C66/CPI!$C$2*100</f>
        <v>105.06852065128953</v>
      </c>
      <c r="E66">
        <f>CPI!D66/CPI!$D$2*100</f>
        <v>118.09610577645095</v>
      </c>
    </row>
    <row r="67" spans="1:5" x14ac:dyDescent="0.3">
      <c r="A67" s="4" t="s">
        <v>65</v>
      </c>
      <c r="B67">
        <f>CPI!A67/CPI!$A$2*100</f>
        <v>101.58686807530704</v>
      </c>
      <c r="C67">
        <f>CPI!B67/CPI!$B$2*100</f>
        <v>114.74892495491741</v>
      </c>
      <c r="D67">
        <f>CPI!C67/CPI!$C$2*100</f>
        <v>105.35380323954226</v>
      </c>
      <c r="E67">
        <f>CPI!D67/CPI!$D$2*100</f>
        <v>118.31006504916172</v>
      </c>
    </row>
    <row r="68" spans="1:5" x14ac:dyDescent="0.3">
      <c r="A68" s="5" t="s">
        <v>66</v>
      </c>
      <c r="B68">
        <f>CPI!A68/CPI!$A$2*100</f>
        <v>102.25863279708413</v>
      </c>
      <c r="C68">
        <f>CPI!B68/CPI!$B$2*100</f>
        <v>115.29848877175138</v>
      </c>
      <c r="D68">
        <f>CPI!C68/CPI!$C$2*100</f>
        <v>105.2692750652452</v>
      </c>
      <c r="E68">
        <f>CPI!D68/CPI!$D$2*100</f>
        <v>118.18620111872026</v>
      </c>
    </row>
    <row r="69" spans="1:5" x14ac:dyDescent="0.3">
      <c r="A69" s="4" t="s">
        <v>67</v>
      </c>
      <c r="B69">
        <f>CPI!A69/CPI!$A$2*100</f>
        <v>102.55942297101419</v>
      </c>
      <c r="C69">
        <f>CPI!B69/CPI!$B$2*100</f>
        <v>115.18857600838462</v>
      </c>
      <c r="D69">
        <f>CPI!C69/CPI!$C$2*100</f>
        <v>105.86097228532489</v>
      </c>
      <c r="E69">
        <f>CPI!D69/CPI!$D$2*100</f>
        <v>118.12988684838959</v>
      </c>
    </row>
    <row r="70" spans="1:5" x14ac:dyDescent="0.3">
      <c r="A70" s="5" t="s">
        <v>68</v>
      </c>
      <c r="B70">
        <f>CPI!A70/CPI!$A$2*100</f>
        <v>102.44913324057312</v>
      </c>
      <c r="C70">
        <f>CPI!B70/CPI!$B$2*100</f>
        <v>115.29848877175138</v>
      </c>
      <c r="D70">
        <f>CPI!C70/CPI!$C$2*100</f>
        <v>106.44210348361737</v>
      </c>
      <c r="E70">
        <f>CPI!D70/CPI!$D$2*100</f>
        <v>118.07358506182524</v>
      </c>
    </row>
    <row r="71" spans="1:5" x14ac:dyDescent="0.3">
      <c r="A71" s="4" t="s">
        <v>69</v>
      </c>
      <c r="B71">
        <f>CPI!A71/CPI!$A$2*100</f>
        <v>102.49926493622819</v>
      </c>
      <c r="C71">
        <f>CPI!B71/CPI!$B$2*100</f>
        <v>115.73813982521848</v>
      </c>
      <c r="D71">
        <f>CPI!C71/CPI!$C$2*100</f>
        <v>105.85040626353768</v>
      </c>
      <c r="E71">
        <f>CPI!D71/CPI!$D$2*100</f>
        <v>118.15240756301526</v>
      </c>
    </row>
    <row r="72" spans="1:5" x14ac:dyDescent="0.3">
      <c r="A72" s="5" t="s">
        <v>70</v>
      </c>
      <c r="B72">
        <f>CPI!A72/CPI!$A$2*100</f>
        <v>102.45915957970415</v>
      </c>
      <c r="C72">
        <f>CPI!B72/CPI!$B$2*100</f>
        <v>116.83726745888632</v>
      </c>
      <c r="D72">
        <f>CPI!C72/CPI!$C$2*100</f>
        <v>105.75531206745346</v>
      </c>
      <c r="E72">
        <f>CPI!D72/CPI!$D$2*100</f>
        <v>118.47898289262102</v>
      </c>
    </row>
    <row r="73" spans="1:5" x14ac:dyDescent="0.3">
      <c r="A73" s="4" t="s">
        <v>71</v>
      </c>
      <c r="B73">
        <f>CPI!A73/CPI!$A$2*100</f>
        <v>102.60955466666918</v>
      </c>
      <c r="C73">
        <f>CPI!B73/CPI!$B$2*100</f>
        <v>117.82648232918727</v>
      </c>
      <c r="D73">
        <f>CPI!C73/CPI!$C$2*100</f>
        <v>106.00889659034473</v>
      </c>
      <c r="E73">
        <f>CPI!D73/CPI!$D$2*100</f>
        <v>119.00825713762467</v>
      </c>
    </row>
    <row r="74" spans="1:5" x14ac:dyDescent="0.3">
      <c r="A74" s="5" t="s">
        <v>72</v>
      </c>
      <c r="B74">
        <f>CPI!A74/CPI!$A$2*100</f>
        <v>102.70417563184739</v>
      </c>
      <c r="C74">
        <f>CPI!B74/CPI!$B$2*100</f>
        <v>119.14543548958866</v>
      </c>
      <c r="D74">
        <f>CPI!C74/CPI!$C$2*100</f>
        <v>106.7590841372315</v>
      </c>
      <c r="E74">
        <f>CPI!D74/CPI!$D$2*100</f>
        <v>119.31231175260477</v>
      </c>
    </row>
    <row r="75" spans="1:5" x14ac:dyDescent="0.3">
      <c r="A75" s="4" t="s">
        <v>73</v>
      </c>
      <c r="B75">
        <f>CPI!A75/CPI!$A$2*100</f>
        <v>101.76760082650635</v>
      </c>
      <c r="C75">
        <f>CPI!B75/CPI!$B$2*100</f>
        <v>119.25534825295543</v>
      </c>
      <c r="D75">
        <f>CPI!C75/CPI!$C$2*100</f>
        <v>107.32964931373685</v>
      </c>
      <c r="E75">
        <f>CPI!D75/CPI!$D$2*100</f>
        <v>119.4361756830462</v>
      </c>
    </row>
    <row r="76" spans="1:5" x14ac:dyDescent="0.3">
      <c r="A76" s="5" t="s">
        <v>74</v>
      </c>
      <c r="B76">
        <f>CPI!A76/CPI!$A$2*100</f>
        <v>102.00431753554857</v>
      </c>
      <c r="C76">
        <f>CPI!B76/CPI!$B$2*100</f>
        <v>118.92560996285511</v>
      </c>
      <c r="D76">
        <f>CPI!C76/CPI!$C$2*100</f>
        <v>107.60436588020245</v>
      </c>
      <c r="E76">
        <f>CPI!D76/CPI!$D$2*100</f>
        <v>119.53753138262833</v>
      </c>
    </row>
    <row r="77" spans="1:5" x14ac:dyDescent="0.3">
      <c r="A77" s="4" t="s">
        <v>75</v>
      </c>
      <c r="B77">
        <f>CPI!A77/CPI!$A$2*100</f>
        <v>103.41432575897407</v>
      </c>
      <c r="C77">
        <f>CPI!B77/CPI!$B$2*100</f>
        <v>118.81569719948833</v>
      </c>
      <c r="D77">
        <f>CPI!C77/CPI!$C$2*100</f>
        <v>107.75229018522239</v>
      </c>
      <c r="E77">
        <f>CPI!D77/CPI!$D$2*100</f>
        <v>119.69518886877484</v>
      </c>
    </row>
    <row r="78" spans="1:5" x14ac:dyDescent="0.3">
      <c r="A78" s="5" t="s">
        <v>76</v>
      </c>
      <c r="B78">
        <f>CPI!A78/CPI!$A$2*100</f>
        <v>102.45716689197721</v>
      </c>
      <c r="C78">
        <f>CPI!B78/CPI!$B$2*100</f>
        <v>118.81569719948833</v>
      </c>
      <c r="D78">
        <f>CPI!C78/CPI!$C$2*100</f>
        <v>107.82625233773236</v>
      </c>
      <c r="E78">
        <f>CPI!D78/CPI!$D$2*100</f>
        <v>120.07807846871125</v>
      </c>
    </row>
    <row r="79" spans="1:5" x14ac:dyDescent="0.3">
      <c r="A79" s="4" t="s">
        <v>77</v>
      </c>
      <c r="B79">
        <f>CPI!A79/CPI!$A$2*100</f>
        <v>102.84826406343835</v>
      </c>
      <c r="C79">
        <f>CPI!B79/CPI!$B$2*100</f>
        <v>119.03552272622188</v>
      </c>
      <c r="D79">
        <f>CPI!C79/CPI!$C$2*100</f>
        <v>107.82625233773236</v>
      </c>
      <c r="E79">
        <f>CPI!D79/CPI!$D$2*100</f>
        <v>119.88662742685985</v>
      </c>
    </row>
    <row r="80" spans="1:5" x14ac:dyDescent="0.3">
      <c r="A80" s="5" t="s">
        <v>78</v>
      </c>
      <c r="B80">
        <f>CPI!A80/CPI!$A$2*100</f>
        <v>102.72475969350322</v>
      </c>
      <c r="C80">
        <f>CPI!B80/CPI!$B$2*100</f>
        <v>119.58508654305575</v>
      </c>
      <c r="D80">
        <f>CPI!C80/CPI!$C$2*100</f>
        <v>108.04813879526216</v>
      </c>
      <c r="E80">
        <f>CPI!D80/CPI!$D$2*100</f>
        <v>119.97672276912917</v>
      </c>
    </row>
    <row r="81" spans="1:5" x14ac:dyDescent="0.3">
      <c r="A81" s="4" t="s">
        <v>79</v>
      </c>
      <c r="B81">
        <f>CPI!A81/CPI!$A$2*100</f>
        <v>102.53950313860065</v>
      </c>
      <c r="C81">
        <f>CPI!B81/CPI!$B$2*100</f>
        <v>120.2445631232564</v>
      </c>
      <c r="D81">
        <f>CPI!C81/CPI!$C$2*100</f>
        <v>108.56587386283189</v>
      </c>
      <c r="E81">
        <f>CPI!D81/CPI!$D$2*100</f>
        <v>120.0105038410677</v>
      </c>
    </row>
    <row r="82" spans="1:5" x14ac:dyDescent="0.3">
      <c r="A82" s="5" t="s">
        <v>80</v>
      </c>
      <c r="B82">
        <f>CPI!A82/CPI!$A$2*100</f>
        <v>104.16564400941255</v>
      </c>
      <c r="C82">
        <f>CPI!B82/CPI!$B$2*100</f>
        <v>120.13465035988962</v>
      </c>
      <c r="D82">
        <f>CPI!C82/CPI!$C$2*100</f>
        <v>109.00964677789169</v>
      </c>
      <c r="E82">
        <f>CPI!D82/CPI!$D$2*100</f>
        <v>119.96546241181622</v>
      </c>
    </row>
    <row r="83" spans="1:5" x14ac:dyDescent="0.3">
      <c r="A83" s="4" t="s">
        <v>81</v>
      </c>
      <c r="B83">
        <f>CPI!A83/CPI!$A$2*100</f>
        <v>104.93754632150676</v>
      </c>
      <c r="C83">
        <f>CPI!B83/CPI!$B$2*100</f>
        <v>120.35447588662318</v>
      </c>
      <c r="D83">
        <f>CPI!C83/CPI!$C$2*100</f>
        <v>109.19983517006011</v>
      </c>
      <c r="E83">
        <f>CPI!D83/CPI!$D$2*100</f>
        <v>120.11185954064982</v>
      </c>
    </row>
    <row r="84" spans="1:5" x14ac:dyDescent="0.3">
      <c r="A84" s="5" t="s">
        <v>82</v>
      </c>
      <c r="B84">
        <f>CPI!A84/CPI!$A$2*100</f>
        <v>105.2360152155166</v>
      </c>
      <c r="C84">
        <f>CPI!B84/CPI!$B$2*100</f>
        <v>121.12386523019067</v>
      </c>
      <c r="D84">
        <f>CPI!C84/CPI!$C$2*100</f>
        <v>109.74926830299123</v>
      </c>
      <c r="E84">
        <f>CPI!D84/CPI!$D$2*100</f>
        <v>120.55103844338424</v>
      </c>
    </row>
    <row r="85" spans="1:5" x14ac:dyDescent="0.3">
      <c r="A85" s="4" t="s">
        <v>83</v>
      </c>
      <c r="B85">
        <f>CPI!A85/CPI!$A$2*100</f>
        <v>104.83462601322753</v>
      </c>
      <c r="C85">
        <f>CPI!B85/CPI!$B$2*100</f>
        <v>121.453603520291</v>
      </c>
      <c r="D85">
        <f>CPI!C85/CPI!$C$2*100</f>
        <v>109.92889067337252</v>
      </c>
      <c r="E85">
        <f>CPI!D85/CPI!$D$2*100</f>
        <v>121.23797017453433</v>
      </c>
    </row>
    <row r="86" spans="1:5" x14ac:dyDescent="0.3">
      <c r="A86" s="5" t="s">
        <v>84</v>
      </c>
      <c r="B86">
        <f>CPI!A86/CPI!$A$2*100</f>
        <v>98.237434252528686</v>
      </c>
      <c r="C86">
        <f>CPI!B86/CPI!$B$2*100</f>
        <v>122.77255668069238</v>
      </c>
      <c r="D86">
        <f>CPI!C86/CPI!$C$2*100</f>
        <v>110.78473843813063</v>
      </c>
      <c r="E86">
        <f>CPI!D86/CPI!$D$2*100</f>
        <v>121.91365403213801</v>
      </c>
    </row>
    <row r="87" spans="1:5" x14ac:dyDescent="0.3">
      <c r="A87" s="4" t="s">
        <v>85</v>
      </c>
      <c r="B87">
        <f>CPI!A87/CPI!$A$2*100</f>
        <v>99.328389520288525</v>
      </c>
      <c r="C87">
        <f>CPI!B87/CPI!$B$2*100</f>
        <v>122.88246944405914</v>
      </c>
      <c r="D87">
        <f>CPI!C87/CPI!$C$2*100</f>
        <v>111.38700167999747</v>
      </c>
      <c r="E87">
        <f>CPI!D87/CPI!$D$2*100</f>
        <v>121.89112083374587</v>
      </c>
    </row>
    <row r="88" spans="1:5" x14ac:dyDescent="0.3">
      <c r="A88" s="5" t="s">
        <v>86</v>
      </c>
      <c r="B88">
        <f>CPI!A88/CPI!$A$2*100</f>
        <v>100.00766355493144</v>
      </c>
      <c r="C88">
        <f>CPI!B88/CPI!$B$2*100</f>
        <v>123.65185878762657</v>
      </c>
      <c r="D88">
        <f>CPI!C88/CPI!$C$2*100</f>
        <v>112.10549116152275</v>
      </c>
      <c r="E88">
        <f>CPI!D88/CPI!$D$2*100</f>
        <v>122.69066862179099</v>
      </c>
    </row>
    <row r="89" spans="1:5" x14ac:dyDescent="0.3">
      <c r="A89" s="4" t="s">
        <v>87</v>
      </c>
      <c r="B89">
        <f>CPI!A89/CPI!$A$2*100</f>
        <v>100.35759260308086</v>
      </c>
      <c r="C89">
        <f>CPI!B89/CPI!$B$2*100</f>
        <v>124.64107365792762</v>
      </c>
      <c r="D89">
        <f>CPI!C89/CPI!$C$2*100</f>
        <v>112.87681075198377</v>
      </c>
      <c r="E89">
        <f>CPI!D89/CPI!$D$2*100</f>
        <v>123.85057281138039</v>
      </c>
    </row>
    <row r="90" spans="1:5" x14ac:dyDescent="0.3">
      <c r="A90" s="5" t="s">
        <v>88</v>
      </c>
      <c r="B90">
        <f>CPI!A90/CPI!$A$2*100</f>
        <v>101.7984769189901</v>
      </c>
      <c r="C90">
        <f>CPI!B90/CPI!$B$2*100</f>
        <v>125.19063747476149</v>
      </c>
      <c r="D90">
        <f>CPI!C90/CPI!$C$2*100</f>
        <v>113.58473421172195</v>
      </c>
      <c r="E90">
        <f>CPI!D90/CPI!$D$2*100</f>
        <v>124.3460659844455</v>
      </c>
    </row>
    <row r="91" spans="1:5" x14ac:dyDescent="0.3">
      <c r="A91" s="4" t="s">
        <v>89</v>
      </c>
      <c r="B91">
        <f>CPI!A91/CPI!$A$2*100</f>
        <v>102.72475969350322</v>
      </c>
      <c r="C91">
        <f>CPI!B91/CPI!$B$2*100</f>
        <v>126.28976510842924</v>
      </c>
      <c r="D91">
        <f>CPI!C91/CPI!$C$2*100</f>
        <v>114.33492175860871</v>
      </c>
      <c r="E91">
        <f>CPI!D91/CPI!$D$2*100</f>
        <v>125.10057234323915</v>
      </c>
    </row>
    <row r="92" spans="1:5" x14ac:dyDescent="0.3">
      <c r="A92" s="5" t="s">
        <v>90</v>
      </c>
      <c r="B92">
        <f>CPI!A92/CPI!$A$2*100</f>
        <v>102.56008720025646</v>
      </c>
      <c r="C92">
        <f>CPI!B92/CPI!$B$2*100</f>
        <v>127.27897997873031</v>
      </c>
      <c r="D92">
        <f>CPI!C92/CPI!$C$2*100</f>
        <v>114.88435489153983</v>
      </c>
      <c r="E92">
        <f>CPI!D92/CPI!$D$2*100</f>
        <v>125.90015758258357</v>
      </c>
    </row>
    <row r="93" spans="1:5" x14ac:dyDescent="0.3">
      <c r="A93" s="4" t="s">
        <v>91</v>
      </c>
      <c r="B93">
        <f>CPI!A93/CPI!$A$2*100</f>
        <v>102.61154735439611</v>
      </c>
      <c r="C93">
        <f>CPI!B93/CPI!$B$2*100</f>
        <v>127.82854379556416</v>
      </c>
      <c r="D93">
        <f>CPI!C93/CPI!$C$2*100</f>
        <v>114.7786946736684</v>
      </c>
      <c r="E93">
        <f>CPI!D93/CPI!$D$2*100</f>
        <v>125.6411194293221</v>
      </c>
    </row>
    <row r="94" spans="1:5" x14ac:dyDescent="0.3">
      <c r="A94" s="5" t="s">
        <v>92</v>
      </c>
      <c r="B94">
        <f>CPI!A94/CPI!$A$2*100</f>
        <v>102.83797203261038</v>
      </c>
      <c r="C94">
        <f>CPI!B94/CPI!$B$2*100</f>
        <v>128.37810761239805</v>
      </c>
      <c r="D94">
        <f>CPI!C94/CPI!$C$2*100</f>
        <v>114.97944908762405</v>
      </c>
      <c r="E94">
        <f>CPI!D94/CPI!$D$2*100</f>
        <v>127.1050907176581</v>
      </c>
    </row>
    <row r="95" spans="1:5" x14ac:dyDescent="0.3">
      <c r="A95" s="4" t="s">
        <v>93</v>
      </c>
      <c r="B95">
        <f>CPI!A95/CPI!$A$2*100</f>
        <v>103.17760904993185</v>
      </c>
      <c r="C95">
        <f>CPI!B95/CPI!$B$2*100</f>
        <v>129.58714800943264</v>
      </c>
      <c r="D95">
        <f>CPI!C95/CPI!$C$2*100</f>
        <v>115.33869382838664</v>
      </c>
      <c r="E95">
        <f>CPI!D95/CPI!$D$2*100</f>
        <v>126.96989152730518</v>
      </c>
    </row>
    <row r="96" spans="1:5" x14ac:dyDescent="0.3">
      <c r="A96" s="5" t="s">
        <v>94</v>
      </c>
      <c r="B96">
        <f>CPI!A96/CPI!$A$2*100</f>
        <v>103.04381264916887</v>
      </c>
      <c r="C96">
        <f>CPI!B96/CPI!$B$2*100</f>
        <v>130.79618840646728</v>
      </c>
      <c r="D96">
        <f>CPI!C96/CPI!$C$2*100</f>
        <v>115.24359963230242</v>
      </c>
      <c r="E96">
        <f>CPI!D96/CPI!$D$2*100</f>
        <v>127.08249510043379</v>
      </c>
    </row>
    <row r="97" spans="1:5" x14ac:dyDescent="0.3">
      <c r="A97" s="4" t="s">
        <v>95</v>
      </c>
      <c r="B97">
        <f>CPI!A97/CPI!$A$2*100</f>
        <v>102.98206046420133</v>
      </c>
      <c r="C97">
        <f>CPI!B97/CPI!$B$2*100</f>
        <v>131.23583945993437</v>
      </c>
      <c r="D97">
        <f>CPI!C97/CPI!$C$2*100</f>
        <v>115.44435404625806</v>
      </c>
      <c r="E97">
        <f>CPI!D97/CPI!$D$2*100</f>
        <v>127.91591134678244</v>
      </c>
    </row>
    <row r="98" spans="1:5" x14ac:dyDescent="0.3">
      <c r="A98" s="5" t="s">
        <v>96</v>
      </c>
      <c r="B98">
        <f>CPI!A98/CPI!$A$2*100</f>
        <v>103.29082138903904</v>
      </c>
      <c r="C98">
        <f>CPI!B98/CPI!$B$2*100</f>
        <v>133.43409472726992</v>
      </c>
      <c r="D98">
        <f>CPI!C98/CPI!$C$2*100</f>
        <v>116.30020181101617</v>
      </c>
      <c r="E98">
        <f>CPI!D98/CPI!$D$2*100</f>
        <v>128.35509024951682</v>
      </c>
    </row>
    <row r="99" spans="1:5" x14ac:dyDescent="0.3">
      <c r="A99" s="4" t="s">
        <v>97</v>
      </c>
      <c r="B99">
        <f>CPI!A99/CPI!$A$2*100</f>
        <v>111.2053930957121</v>
      </c>
      <c r="C99">
        <f>CPI!B99/CPI!$B$2*100</f>
        <v>133.43409472726992</v>
      </c>
      <c r="D99">
        <f>CPI!C99/CPI!$C$2*100</f>
        <v>116.57491837748168</v>
      </c>
      <c r="E99">
        <f>CPI!D99/CPI!$D$2*100</f>
        <v>128.55770177854978</v>
      </c>
    </row>
    <row r="100" spans="1:5" x14ac:dyDescent="0.3">
      <c r="A100" s="5" t="s">
        <v>98</v>
      </c>
      <c r="B100">
        <f>CPI!A100/CPI!$A$2*100</f>
        <v>110.90692420170234</v>
      </c>
      <c r="C100">
        <f>CPI!B100/CPI!$B$2*100</f>
        <v>133.1043564371696</v>
      </c>
      <c r="D100">
        <f>CPI!C100/CPI!$C$2*100</f>
        <v>116.77567279143733</v>
      </c>
      <c r="E100">
        <f>CPI!D100/CPI!$D$2*100</f>
        <v>128.78290892480697</v>
      </c>
    </row>
    <row r="101" spans="1:5" x14ac:dyDescent="0.3">
      <c r="A101" s="4" t="s">
        <v>99</v>
      </c>
      <c r="B101">
        <f>CPI!A101/CPI!$A$2*100</f>
        <v>111.1127648182608</v>
      </c>
      <c r="C101">
        <f>CPI!B101/CPI!$B$2*100</f>
        <v>132.88453091043607</v>
      </c>
      <c r="D101">
        <f>CPI!C101/CPI!$C$2*100</f>
        <v>117.03982333611572</v>
      </c>
      <c r="E101">
        <f>CPI!D101/CPI!$D$2*100</f>
        <v>129.21085243776125</v>
      </c>
    </row>
    <row r="102" spans="1:5" x14ac:dyDescent="0.3">
      <c r="A102" s="5" t="s">
        <v>100</v>
      </c>
      <c r="B102">
        <f>CPI!A102/CPI!$A$2*100</f>
        <v>110.32027844451071</v>
      </c>
      <c r="C102">
        <f>CPI!B102/CPI!$B$2*100</f>
        <v>132.88453091043607</v>
      </c>
      <c r="D102">
        <f>CPI!C102/CPI!$C$2*100</f>
        <v>117.42020012045265</v>
      </c>
      <c r="E102">
        <f>CPI!D102/CPI!$D$2*100</f>
        <v>129.32345601088991</v>
      </c>
    </row>
    <row r="103" spans="1:5" x14ac:dyDescent="0.3">
      <c r="A103" s="4" t="s">
        <v>101</v>
      </c>
      <c r="B103">
        <f>CPI!A103/CPI!$A$2*100</f>
        <v>110.97896841749781</v>
      </c>
      <c r="C103">
        <f>CPI!B103/CPI!$B$2*100</f>
        <v>133.1043564371696</v>
      </c>
      <c r="D103">
        <f>CPI!C103/CPI!$C$2*100</f>
        <v>117.45189818581406</v>
      </c>
      <c r="E103">
        <f>CPI!D103/CPI!$D$2*100</f>
        <v>129.50372159802703</v>
      </c>
    </row>
    <row r="104" spans="1:5" x14ac:dyDescent="0.3">
      <c r="A104" s="5" t="s">
        <v>102</v>
      </c>
      <c r="B104">
        <f>CPI!A104/CPI!$A$2*100</f>
        <v>110.96867638666986</v>
      </c>
      <c r="C104">
        <f>CPI!B104/CPI!$B$2*100</f>
        <v>133.21426920053639</v>
      </c>
      <c r="D104">
        <f>CPI!C104/CPI!$C$2*100</f>
        <v>117.58925646904683</v>
      </c>
      <c r="E104">
        <f>CPI!D104/CPI!$D$2*100</f>
        <v>129.7739951410685</v>
      </c>
    </row>
    <row r="105" spans="1:5" x14ac:dyDescent="0.3">
      <c r="A105" s="4" t="s">
        <v>103</v>
      </c>
      <c r="B105">
        <f>CPI!A105/CPI!$A$2*100</f>
        <v>111.57590620551741</v>
      </c>
      <c r="C105">
        <f>CPI!B105/CPI!$B$2*100</f>
        <v>134.64313512430454</v>
      </c>
      <c r="D105">
        <f>CPI!C105/CPI!$C$2*100</f>
        <v>118.63529262597336</v>
      </c>
      <c r="E105">
        <f>CPI!D105/CPI!$D$2*100</f>
        <v>129.75139952384421</v>
      </c>
    </row>
    <row r="106" spans="1:5" x14ac:dyDescent="0.3">
      <c r="A106" s="5" t="s">
        <v>104</v>
      </c>
      <c r="B106">
        <f>CPI!A106/CPI!$A$2*100</f>
        <v>111.17451700322832</v>
      </c>
      <c r="C106">
        <f>CPI!B106/CPI!$B$2*100</f>
        <v>136.18191381143939</v>
      </c>
      <c r="D106">
        <f>CPI!C106/CPI!$C$2*100</f>
        <v>119.2375558678402</v>
      </c>
      <c r="E106">
        <f>CPI!D106/CPI!$D$2*100</f>
        <v>129.99920228732569</v>
      </c>
    </row>
    <row r="107" spans="1:5" x14ac:dyDescent="0.3">
      <c r="A107" s="4" t="s">
        <v>105</v>
      </c>
      <c r="B107">
        <f>CPI!A107/CPI!$A$2*100</f>
        <v>110.86575607839065</v>
      </c>
      <c r="C107">
        <f>CPI!B107/CPI!$B$2*100</f>
        <v>135.96208828470583</v>
      </c>
      <c r="D107">
        <f>CPI!C107/CPI!$C$2*100</f>
        <v>119.68132878289997</v>
      </c>
      <c r="E107">
        <f>CPI!D107/CPI!$D$2*100</f>
        <v>130.22440943358285</v>
      </c>
    </row>
    <row r="108" spans="1:5" x14ac:dyDescent="0.3">
      <c r="A108" s="5" t="s">
        <v>106</v>
      </c>
      <c r="B108">
        <f>CPI!A108/CPI!$A$2*100</f>
        <v>110.58787124603668</v>
      </c>
      <c r="C108">
        <f>CPI!B108/CPI!$B$2*100</f>
        <v>136.18191381143939</v>
      </c>
      <c r="D108">
        <f>CPI!C108/CPI!$C$2*100</f>
        <v>119.0579334974589</v>
      </c>
      <c r="E108">
        <f>CPI!D108/CPI!$D$2*100</f>
        <v>130.71989012288151</v>
      </c>
    </row>
    <row r="109" spans="1:5" x14ac:dyDescent="0.3">
      <c r="A109" s="4" t="s">
        <v>107</v>
      </c>
      <c r="B109">
        <f>CPI!A109/CPI!$A$2*100</f>
        <v>110.08356173546846</v>
      </c>
      <c r="C109">
        <f>CPI!B109/CPI!$B$2*100</f>
        <v>136.40173933817289</v>
      </c>
      <c r="D109">
        <f>CPI!C109/CPI!$C$2*100</f>
        <v>119.11076360639453</v>
      </c>
      <c r="E109">
        <f>CPI!D109/CPI!$D$2*100</f>
        <v>131.26043720896448</v>
      </c>
    </row>
    <row r="110" spans="1:5" x14ac:dyDescent="0.3">
      <c r="A110" s="5" t="s">
        <v>108</v>
      </c>
      <c r="B110">
        <f>CPI!A110/CPI!$A$2*100</f>
        <v>110.10414579712429</v>
      </c>
      <c r="C110">
        <f>CPI!B110/CPI!$B$2*100</f>
        <v>137.17112868174044</v>
      </c>
      <c r="D110">
        <f>CPI!C110/CPI!$C$2*100</f>
        <v>119.57566856502855</v>
      </c>
      <c r="E110">
        <f>CPI!D110/CPI!$D$2*100</f>
        <v>131.31673899552874</v>
      </c>
    </row>
    <row r="111" spans="1:5" x14ac:dyDescent="0.3">
      <c r="A111" s="4" t="s">
        <v>109</v>
      </c>
      <c r="B111">
        <f>CPI!A111/CPI!$A$2*100</f>
        <v>110.35115453699447</v>
      </c>
      <c r="C111">
        <f>CPI!B111/CPI!$B$2*100</f>
        <v>137.94051802530785</v>
      </c>
      <c r="D111">
        <f>CPI!C111/CPI!$C$2*100</f>
        <v>120.2201958940439</v>
      </c>
      <c r="E111">
        <f>CPI!D111/CPI!$D$2*100</f>
        <v>131.80360588599603</v>
      </c>
    </row>
    <row r="112" spans="1:5" x14ac:dyDescent="0.3">
      <c r="A112" s="5" t="s">
        <v>110</v>
      </c>
      <c r="B112">
        <f>CPI!A112/CPI!$A$2*100</f>
        <v>110.38203062947822</v>
      </c>
      <c r="C112">
        <f>CPI!B112/CPI!$B$2*100</f>
        <v>138.05043078867462</v>
      </c>
      <c r="D112">
        <f>CPI!C112/CPI!$C$2*100</f>
        <v>120.39981826442528</v>
      </c>
      <c r="E112">
        <f>CPI!D112/CPI!$D$2*100</f>
        <v>132.49021303921919</v>
      </c>
    </row>
    <row r="113" spans="1:5" x14ac:dyDescent="0.3">
      <c r="A113" s="4" t="s">
        <v>111</v>
      </c>
      <c r="B113">
        <f>CPI!A113/CPI!$A$2*100</f>
        <v>112.5433571033422</v>
      </c>
      <c r="C113">
        <f>CPI!B113/CPI!$B$2*100</f>
        <v>137.94051802530785</v>
      </c>
      <c r="D113">
        <f>CPI!C113/CPI!$C$2*100</f>
        <v>120.46321439514813</v>
      </c>
      <c r="E113">
        <f>CPI!D113/CPI!$D$2*100</f>
        <v>132.8272747326196</v>
      </c>
    </row>
    <row r="114" spans="1:5" x14ac:dyDescent="0.3">
      <c r="A114" s="5" t="s">
        <v>112</v>
      </c>
      <c r="B114">
        <f>CPI!A114/CPI!$A$2*100</f>
        <v>113.46963987785522</v>
      </c>
      <c r="C114">
        <f>CPI!B114/CPI!$B$2*100</f>
        <v>138.05043078867462</v>
      </c>
      <c r="D114">
        <f>CPI!C114/CPI!$C$2*100</f>
        <v>120.5583085912323</v>
      </c>
      <c r="E114">
        <f>CPI!D114/CPI!$D$2*100</f>
        <v>132.78982343335286</v>
      </c>
    </row>
    <row r="115" spans="1:5" x14ac:dyDescent="0.3">
      <c r="A115" s="4" t="s">
        <v>113</v>
      </c>
      <c r="B115">
        <f>CPI!A115/CPI!$A$2*100</f>
        <v>112.97562239811494</v>
      </c>
      <c r="C115">
        <f>CPI!B115/CPI!$B$2*100</f>
        <v>138.05043078867462</v>
      </c>
      <c r="D115">
        <f>CPI!C115/CPI!$C$2*100</f>
        <v>120.2835920247667</v>
      </c>
      <c r="E115">
        <f>CPI!D115/CPI!$D$2*100</f>
        <v>132.67746953555275</v>
      </c>
    </row>
    <row r="116" spans="1:5" x14ac:dyDescent="0.3">
      <c r="A116" s="5" t="s">
        <v>114</v>
      </c>
      <c r="B116">
        <f>CPI!A116/CPI!$A$2*100</f>
        <v>113.22263113798512</v>
      </c>
      <c r="C116">
        <f>CPI!B116/CPI!$B$2*100</f>
        <v>139.03964565897567</v>
      </c>
      <c r="D116">
        <f>CPI!C116/CPI!$C$2*100</f>
        <v>120.5900066565937</v>
      </c>
      <c r="E116">
        <f>CPI!D116/CPI!$D$2*100</f>
        <v>132.44027797353024</v>
      </c>
    </row>
    <row r="117" spans="1:5" x14ac:dyDescent="0.3">
      <c r="A117" s="4" t="s">
        <v>115</v>
      </c>
      <c r="B117">
        <f>CPI!A117/CPI!$A$2*100</f>
        <v>113.37701160040392</v>
      </c>
      <c r="C117">
        <f>CPI!B117/CPI!$B$2*100</f>
        <v>139.14955842234244</v>
      </c>
      <c r="D117">
        <f>CPI!C117/CPI!$C$2*100</f>
        <v>121.02321354986636</v>
      </c>
      <c r="E117">
        <f>CPI!D117/CPI!$D$2*100</f>
        <v>132.40282667426351</v>
      </c>
    </row>
    <row r="118" spans="1:5" x14ac:dyDescent="0.3">
      <c r="A118" s="5" t="s">
        <v>116</v>
      </c>
      <c r="B118">
        <f>CPI!A118/CPI!$A$2*100</f>
        <v>111.85379103787123</v>
      </c>
      <c r="C118">
        <f>CPI!B118/CPI!$B$2*100</f>
        <v>138.81982013224211</v>
      </c>
      <c r="D118">
        <f>CPI!C118/CPI!$C$2*100</f>
        <v>121.13943978952481</v>
      </c>
      <c r="E118">
        <f>CPI!D118/CPI!$D$2*100</f>
        <v>132.24053771077439</v>
      </c>
    </row>
    <row r="119" spans="1:5" x14ac:dyDescent="0.3">
      <c r="A119" s="4" t="s">
        <v>117</v>
      </c>
      <c r="B119">
        <f>CPI!A119/CPI!$A$2*100</f>
        <v>111.11592074547376</v>
      </c>
      <c r="C119">
        <f>CPI!B119/CPI!$B$2*100</f>
        <v>139.03964565897567</v>
      </c>
      <c r="D119">
        <f>CPI!C119/CPI!$C$2*100</f>
        <v>121.18170387667342</v>
      </c>
      <c r="E119">
        <f>CPI!D119/CPI!$D$2*100</f>
        <v>132.34040784215227</v>
      </c>
    </row>
    <row r="120" spans="1:5" x14ac:dyDescent="0.3">
      <c r="A120" s="5" t="s">
        <v>118</v>
      </c>
      <c r="B120">
        <f>CPI!A120/CPI!$A$2*100</f>
        <v>110.97258804357936</v>
      </c>
      <c r="C120">
        <f>CPI!B120/CPI!$B$2*100</f>
        <v>139.58920947580955</v>
      </c>
      <c r="D120">
        <f>CPI!C120/CPI!$C$2*100</f>
        <v>120.87528924484643</v>
      </c>
      <c r="E120">
        <f>CPI!D120/CPI!$D$2*100</f>
        <v>132.73988836766389</v>
      </c>
    </row>
    <row r="121" spans="1:5" x14ac:dyDescent="0.3">
      <c r="A121" s="4" t="s">
        <v>119</v>
      </c>
      <c r="B121">
        <f>CPI!A121/CPI!$A$2*100</f>
        <v>110.77412737941799</v>
      </c>
      <c r="C121">
        <f>CPI!B121/CPI!$B$2*100</f>
        <v>140.35859881937705</v>
      </c>
      <c r="D121">
        <f>CPI!C121/CPI!$C$2*100</f>
        <v>121.41415635599043</v>
      </c>
      <c r="E121">
        <f>CPI!D121/CPI!$D$2*100</f>
        <v>133.32662538950919</v>
      </c>
    </row>
    <row r="122" spans="1:5" x14ac:dyDescent="0.3">
      <c r="A122" s="5" t="s">
        <v>120</v>
      </c>
      <c r="B122">
        <f>CPI!A122/CPI!$A$2*100</f>
        <v>110.88438330395212</v>
      </c>
      <c r="C122">
        <f>CPI!B122/CPI!$B$2*100</f>
        <v>141.12798816294446</v>
      </c>
      <c r="D122">
        <f>CPI!C122/CPI!$C$2*100</f>
        <v>122.25943809896131</v>
      </c>
      <c r="E122">
        <f>CPI!D122/CPI!$D$2*100</f>
        <v>132.31544030930783</v>
      </c>
    </row>
    <row r="123" spans="1:5" x14ac:dyDescent="0.3">
      <c r="A123" s="4" t="s">
        <v>121</v>
      </c>
      <c r="B123">
        <f>CPI!A123/CPI!$A$2*100</f>
        <v>110.86233211904535</v>
      </c>
      <c r="C123">
        <f>CPI!B123/CPI!$B$2*100</f>
        <v>140.79824987284414</v>
      </c>
      <c r="D123">
        <f>CPI!C123/CPI!$C$2*100</f>
        <v>122.65038090508537</v>
      </c>
      <c r="E123">
        <f>CPI!D123/CPI!$D$2*100</f>
        <v>131.67876822177365</v>
      </c>
    </row>
    <row r="124" spans="1:5" x14ac:dyDescent="0.3">
      <c r="A124" s="5" t="s">
        <v>122</v>
      </c>
      <c r="B124">
        <f>CPI!A124/CPI!$A$2*100</f>
        <v>110.6418202699771</v>
      </c>
      <c r="C124">
        <f>CPI!B124/CPI!$B$2*100</f>
        <v>140.46851158274382</v>
      </c>
      <c r="D124">
        <f>CPI!C124/CPI!$C$2*100</f>
        <v>122.87226736261528</v>
      </c>
      <c r="E124">
        <f>CPI!D124/CPI!$D$2*100</f>
        <v>133.85094357924322</v>
      </c>
    </row>
    <row r="125" spans="1:5" x14ac:dyDescent="0.3">
      <c r="A125" s="4" t="s">
        <v>123</v>
      </c>
      <c r="C125">
        <f>CPI!B125/CPI!$B$2*100</f>
        <v>139.91894776590988</v>
      </c>
      <c r="D125">
        <f>CPI!C125/CPI!$C$2*100</f>
        <v>122.96736155869948</v>
      </c>
      <c r="E125">
        <f>CPI!D125/CPI!$D$2*100</f>
        <v>135.41141438202303</v>
      </c>
    </row>
    <row r="126" spans="1:5" x14ac:dyDescent="0.3">
      <c r="A126" s="5" t="s">
        <v>124</v>
      </c>
      <c r="C126">
        <f>CPI!B126/CPI!$B$2*100</f>
        <v>139.80903500254308</v>
      </c>
      <c r="D126">
        <f>CPI!C126/CPI!$C$2*100</f>
        <v>122.85113531904102</v>
      </c>
      <c r="E126">
        <f>CPI!D126/CPI!$D$2*100</f>
        <v>134.91206372513349</v>
      </c>
    </row>
    <row r="127" spans="1:5" x14ac:dyDescent="0.3">
      <c r="A127" s="4" t="s">
        <v>125</v>
      </c>
      <c r="C127">
        <f>CPI!B127/CPI!$B$2*100</f>
        <v>139.91894776590988</v>
      </c>
      <c r="D127">
        <f>CPI!C127/CPI!$C$2*100</f>
        <v>122.89339940618962</v>
      </c>
      <c r="E127">
        <f>CPI!D127/CPI!$D$2*100</f>
        <v>135.16173905357823</v>
      </c>
    </row>
    <row r="128" spans="1:5" x14ac:dyDescent="0.3">
      <c r="A128" s="5" t="s">
        <v>126</v>
      </c>
      <c r="C128">
        <f>CPI!B128/CPI!$B$2*100</f>
        <v>140.35859881937705</v>
      </c>
      <c r="D128">
        <f>CPI!C128/CPI!$C$2*100</f>
        <v>123.11528586371942</v>
      </c>
      <c r="E128">
        <f>CPI!D128/CPI!$D$2*100</f>
        <v>135.57370334551214</v>
      </c>
    </row>
    <row r="129" spans="1:5" x14ac:dyDescent="0.3">
      <c r="A129" s="4" t="s">
        <v>127</v>
      </c>
      <c r="C129">
        <f>CPI!B129/CPI!$B$2*100</f>
        <v>141.23790092631126</v>
      </c>
      <c r="D129">
        <f>CPI!C129/CPI!$C$2*100</f>
        <v>123.04132371120946</v>
      </c>
      <c r="E129">
        <f>CPI!D129/CPI!$D$2*100</f>
        <v>135.46134944771197</v>
      </c>
    </row>
    <row r="130" spans="1:5" x14ac:dyDescent="0.3">
      <c r="A130" s="5" t="s">
        <v>128</v>
      </c>
      <c r="C130">
        <f>CPI!B130/CPI!$B$2*100</f>
        <v>141.23790092631126</v>
      </c>
      <c r="D130">
        <f>CPI!C130/CPI!$C$2*100</f>
        <v>123.68585104022488</v>
      </c>
      <c r="E130">
        <f>CPI!D130/CPI!$D$2*100</f>
        <v>135.7484760754235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F14A-4E21-463C-8962-E5FA1EE95A31}">
  <dimension ref="A2:E131"/>
  <sheetViews>
    <sheetView topLeftCell="E1" workbookViewId="0">
      <selection activeCell="H4" sqref="H4"/>
    </sheetView>
  </sheetViews>
  <sheetFormatPr defaultRowHeight="14.4" x14ac:dyDescent="0.3"/>
  <cols>
    <col min="2" max="2" width="8.109375" bestFit="1" customWidth="1"/>
  </cols>
  <sheetData>
    <row r="2" spans="1:5" x14ac:dyDescent="0.3">
      <c r="A2" t="s">
        <v>131</v>
      </c>
      <c r="B2" t="s">
        <v>133</v>
      </c>
      <c r="C2" t="s">
        <v>132</v>
      </c>
      <c r="D2" t="s">
        <v>129</v>
      </c>
      <c r="E2" t="s">
        <v>130</v>
      </c>
    </row>
    <row r="3" spans="1:5" x14ac:dyDescent="0.3">
      <c r="A3" s="2" t="s">
        <v>0</v>
      </c>
      <c r="B3">
        <f>LOG('CPI base year 2015-01'!B2)</f>
        <v>2</v>
      </c>
      <c r="C3">
        <f>LOG('CPI base year 2015-01'!C2)</f>
        <v>2</v>
      </c>
      <c r="D3">
        <f>LOG('CPI base year 2015-01'!D2)</f>
        <v>2</v>
      </c>
      <c r="E3">
        <f>LOG('CPI base year 2015-01'!E2)</f>
        <v>2</v>
      </c>
    </row>
    <row r="4" spans="1:5" x14ac:dyDescent="0.3">
      <c r="A4" s="4" t="s">
        <v>1</v>
      </c>
      <c r="B4">
        <f>LOG('CPI base year 2015-01'!B3)</f>
        <v>2.00053219861161</v>
      </c>
      <c r="C4">
        <f>LOG('CPI base year 2015-01'!C3)</f>
        <v>2.0004064525162404</v>
      </c>
      <c r="D4">
        <f>LOG('CPI base year 2015-01'!D3)</f>
        <v>1.9997429531078943</v>
      </c>
      <c r="E4">
        <f>LOG('CPI base year 2015-01'!E3)</f>
        <v>1.9984240035023424</v>
      </c>
    </row>
    <row r="5" spans="1:5" x14ac:dyDescent="0.3">
      <c r="A5" s="5" t="s">
        <v>2</v>
      </c>
      <c r="B5">
        <f>LOG('CPI base year 2015-01'!B4)</f>
        <v>2.0012680139866355</v>
      </c>
      <c r="C5">
        <f>LOG('CPI base year 2015-01'!C4)</f>
        <v>2</v>
      </c>
      <c r="D5">
        <f>LOG('CPI base year 2015-01'!D4)</f>
        <v>1.9997842744775742</v>
      </c>
      <c r="E5">
        <f>LOG('CPI base year 2015-01'!E4)</f>
        <v>1.99915774670047</v>
      </c>
    </row>
    <row r="6" spans="1:5" x14ac:dyDescent="0.3">
      <c r="A6" s="4" t="s">
        <v>3</v>
      </c>
      <c r="B6">
        <f>LOG('CPI base year 2015-01'!B5)</f>
        <v>2.00134969434834</v>
      </c>
      <c r="C6">
        <f>LOG('CPI base year 2015-01'!C5)</f>
        <v>2.0008125249926723</v>
      </c>
      <c r="D6">
        <f>LOG('CPI base year 2015-01'!D5)</f>
        <v>1.9999173943751947</v>
      </c>
      <c r="E6">
        <f>LOG('CPI base year 2015-01'!E5)</f>
        <v>2.0007310876035516</v>
      </c>
    </row>
    <row r="7" spans="1:5" x14ac:dyDescent="0.3">
      <c r="A7" s="5" t="s">
        <v>4</v>
      </c>
      <c r="B7">
        <f>LOG('CPI base year 2015-01'!B6)</f>
        <v>2.0020841271308698</v>
      </c>
      <c r="C7">
        <f>LOG('CPI base year 2015-01'!C6)</f>
        <v>2.0004064525162404</v>
      </c>
      <c r="D7">
        <f>LOG('CPI base year 2015-01'!D6)</f>
        <v>2.0011319485024508</v>
      </c>
      <c r="E7">
        <f>LOG('CPI base year 2015-01'!E6)</f>
        <v>2.0028806425009833</v>
      </c>
    </row>
    <row r="8" spans="1:5" x14ac:dyDescent="0.3">
      <c r="A8" s="4" t="s">
        <v>5</v>
      </c>
      <c r="B8">
        <f>LOG('CPI base year 2015-01'!B7)</f>
        <v>2.0025323365153951</v>
      </c>
      <c r="C8">
        <f>LOG('CPI base year 2015-01'!C7)</f>
        <v>2.0004064525162404</v>
      </c>
      <c r="D8">
        <f>LOG('CPI base year 2015-01'!D7)</f>
        <v>2.0012188993840012</v>
      </c>
      <c r="E8">
        <f>LOG('CPI base year 2015-01'!E7)</f>
        <v>2.0052003430052738</v>
      </c>
    </row>
    <row r="9" spans="1:5" x14ac:dyDescent="0.3">
      <c r="A9" s="5" t="s">
        <v>6</v>
      </c>
      <c r="B9">
        <f>LOG('CPI base year 2015-01'!B8)</f>
        <v>2.0022471658871361</v>
      </c>
      <c r="C9">
        <f>LOG('CPI base year 2015-01'!C8)</f>
        <v>2.0012182181393183</v>
      </c>
      <c r="D9">
        <f>LOG('CPI base year 2015-01'!D8)</f>
        <v>2.0020006749232082</v>
      </c>
      <c r="E9">
        <f>LOG('CPI base year 2015-01'!E8)</f>
        <v>2.0092302681952181</v>
      </c>
    </row>
    <row r="10" spans="1:5" x14ac:dyDescent="0.3">
      <c r="A10" s="4" t="s">
        <v>7</v>
      </c>
      <c r="B10">
        <f>LOG('CPI base year 2015-01'!B9)</f>
        <v>2.0012680139866355</v>
      </c>
      <c r="C10">
        <f>LOG('CPI base year 2015-01'!C9)</f>
        <v>2.0012182181393183</v>
      </c>
      <c r="D10">
        <f>LOG('CPI base year 2015-01'!D9)</f>
        <v>2.0026077511214755</v>
      </c>
      <c r="E10">
        <f>LOG('CPI base year 2015-01'!E9)</f>
        <v>2.0109103254935308</v>
      </c>
    </row>
    <row r="11" spans="1:5" x14ac:dyDescent="0.3">
      <c r="A11" s="5" t="s">
        <v>8</v>
      </c>
      <c r="B11">
        <f>LOG('CPI base year 2015-01'!B10)</f>
        <v>2.0010637458478318</v>
      </c>
      <c r="C11">
        <f>LOG('CPI base year 2015-01'!C10)</f>
        <v>2.0004064525162404</v>
      </c>
      <c r="D11">
        <f>LOG('CPI base year 2015-01'!D10)</f>
        <v>2.0014796476258669</v>
      </c>
      <c r="E11">
        <f>LOG('CPI base year 2015-01'!E10)</f>
        <v>2.0106961970024551</v>
      </c>
    </row>
    <row r="12" spans="1:5" x14ac:dyDescent="0.3">
      <c r="A12" s="4" t="s">
        <v>9</v>
      </c>
      <c r="B12">
        <f>LOG('CPI base year 2015-01'!B11)</f>
        <v>2.001921027145138</v>
      </c>
      <c r="C12">
        <f>LOG('CPI base year 2015-01'!C11)</f>
        <v>2.0008125249926723</v>
      </c>
      <c r="D12">
        <f>LOG('CPI base year 2015-01'!D11)</f>
        <v>2.0014796476258669</v>
      </c>
      <c r="E12">
        <f>LOG('CPI base year 2015-01'!E11)</f>
        <v>2.0103390990507166</v>
      </c>
    </row>
    <row r="13" spans="1:5" x14ac:dyDescent="0.3">
      <c r="A13" s="5" t="s">
        <v>10</v>
      </c>
      <c r="B13">
        <f>LOG('CPI base year 2015-01'!B12)</f>
        <v>2.00053219861161</v>
      </c>
      <c r="C13">
        <f>LOG('CPI base year 2015-01'!C12)</f>
        <v>2.0020284692734132</v>
      </c>
      <c r="D13">
        <f>LOG('CPI base year 2015-01'!D12)</f>
        <v>2.0006556981529688</v>
      </c>
      <c r="E13">
        <f>LOG('CPI base year 2015-01'!E12)</f>
        <v>2.0112312939893626</v>
      </c>
    </row>
    <row r="14" spans="1:5" x14ac:dyDescent="0.3">
      <c r="A14" s="4" t="s">
        <v>11</v>
      </c>
      <c r="B14">
        <f>LOG('CPI base year 2015-01'!B13)</f>
        <v>1.9988515061786849</v>
      </c>
      <c r="C14">
        <f>LOG('CPI base year 2015-01'!C13)</f>
        <v>2.0028372115590867</v>
      </c>
      <c r="D14">
        <f>LOG('CPI base year 2015-01'!D13)</f>
        <v>2.0019549957770284</v>
      </c>
      <c r="E14">
        <f>LOG('CPI base year 2015-01'!E13)</f>
        <v>2.0153824927989423</v>
      </c>
    </row>
    <row r="15" spans="1:5" x14ac:dyDescent="0.3">
      <c r="A15" s="5" t="s">
        <v>12</v>
      </c>
      <c r="B15">
        <f>LOG('CPI base year 2015-01'!B14)</f>
        <v>1.9976999671050377</v>
      </c>
      <c r="C15">
        <f>LOG('CPI base year 2015-01'!C14)</f>
        <v>2.0032410186378327</v>
      </c>
      <c r="D15">
        <f>LOG('CPI base year 2015-01'!D14)</f>
        <v>2.0026944070608126</v>
      </c>
      <c r="E15">
        <f>LOG('CPI base year 2015-01'!E14)</f>
        <v>2.0176014505762345</v>
      </c>
    </row>
    <row r="16" spans="1:5" x14ac:dyDescent="0.3">
      <c r="A16" s="4" t="s">
        <v>13</v>
      </c>
      <c r="B16">
        <f>LOG('CPI base year 2015-01'!B15)</f>
        <v>1.9983583632620683</v>
      </c>
      <c r="C16">
        <f>LOG('CPI base year 2015-01'!C15)</f>
        <v>2.0024330286709993</v>
      </c>
      <c r="D16">
        <f>LOG('CPI base year 2015-01'!D15)</f>
        <v>2.0045510693108026</v>
      </c>
      <c r="E16">
        <f>LOG('CPI base year 2015-01'!E15)</f>
        <v>2.0172148154935829</v>
      </c>
    </row>
    <row r="17" spans="1:5" x14ac:dyDescent="0.3">
      <c r="A17" s="5" t="s">
        <v>14</v>
      </c>
      <c r="B17">
        <f>LOG('CPI base year 2015-01'!B16)</f>
        <v>1.9992620312890368</v>
      </c>
      <c r="C17">
        <f>LOG('CPI base year 2015-01'!C16)</f>
        <v>2.0024330286709993</v>
      </c>
      <c r="D17">
        <f>LOG('CPI base year 2015-01'!D16)</f>
        <v>2.0034280089305798</v>
      </c>
      <c r="E17">
        <f>LOG('CPI base year 2015-01'!E16)</f>
        <v>2.0180579065234903</v>
      </c>
    </row>
    <row r="18" spans="1:5" x14ac:dyDescent="0.3">
      <c r="A18" s="4" t="s">
        <v>15</v>
      </c>
      <c r="B18">
        <f>LOG('CPI base year 2015-01'!B17)</f>
        <v>2.0016354546982957</v>
      </c>
      <c r="C18">
        <f>LOG('CPI base year 2015-01'!C17)</f>
        <v>2.003644450605444</v>
      </c>
      <c r="D18">
        <f>LOG('CPI base year 2015-01'!D17)</f>
        <v>2.0042467204278465</v>
      </c>
      <c r="E18">
        <f>LOG('CPI base year 2015-01'!E17)</f>
        <v>2.0160881595270892</v>
      </c>
    </row>
    <row r="19" spans="1:5" x14ac:dyDescent="0.3">
      <c r="A19" s="5" t="s">
        <v>16</v>
      </c>
      <c r="B19">
        <f>LOG('CPI base year 2015-01'!B18)</f>
        <v>2.0040771467478282</v>
      </c>
      <c r="C19">
        <f>LOG('CPI base year 2015-01'!C18)</f>
        <v>2.0044501919903732</v>
      </c>
      <c r="D19">
        <f>LOG('CPI base year 2015-01'!D18)</f>
        <v>2.0045056576432856</v>
      </c>
      <c r="E19">
        <f>LOG('CPI base year 2015-01'!E18)</f>
        <v>2.0171093334881358</v>
      </c>
    </row>
    <row r="20" spans="1:5" x14ac:dyDescent="0.3">
      <c r="A20" s="4" t="s">
        <v>17</v>
      </c>
      <c r="B20">
        <f>LOG('CPI base year 2015-01'!B19)</f>
        <v>2.0041988717400492</v>
      </c>
      <c r="C20">
        <f>LOG('CPI base year 2015-01'!C19)</f>
        <v>2.0060572039327829</v>
      </c>
      <c r="D20">
        <f>LOG('CPI base year 2015-01'!D19)</f>
        <v>2.0044193623908733</v>
      </c>
      <c r="E20">
        <f>LOG('CPI base year 2015-01'!E19)</f>
        <v>2.0199489113770697</v>
      </c>
    </row>
    <row r="21" spans="1:5" x14ac:dyDescent="0.3">
      <c r="A21" s="5" t="s">
        <v>18</v>
      </c>
      <c r="B21">
        <f>LOG('CPI base year 2015-01'!B20)</f>
        <v>2.0026952071274309</v>
      </c>
      <c r="C21">
        <f>LOG('CPI base year 2015-01'!C20)</f>
        <v>2.0068584854920104</v>
      </c>
      <c r="D21">
        <f>LOG('CPI base year 2015-01'!D20)</f>
        <v>2.0036009765921996</v>
      </c>
      <c r="E21">
        <f>LOG('CPI base year 2015-01'!E20)</f>
        <v>2.0229435396055346</v>
      </c>
    </row>
    <row r="22" spans="1:5" x14ac:dyDescent="0.3">
      <c r="A22" s="4" t="s">
        <v>19</v>
      </c>
      <c r="B22">
        <f>LOG('CPI base year 2015-01'!B21)</f>
        <v>2.0025323365153951</v>
      </c>
      <c r="C22">
        <f>LOG('CPI base year 2015-01'!C21)</f>
        <v>2.0068584854920104</v>
      </c>
      <c r="D22">
        <f>LOG('CPI base year 2015-01'!D21)</f>
        <v>2.0047190512050488</v>
      </c>
      <c r="E22">
        <f>LOG('CPI base year 2015-01'!E21)</f>
        <v>2.0228741083706545</v>
      </c>
    </row>
    <row r="23" spans="1:5" x14ac:dyDescent="0.3">
      <c r="A23" s="5" t="s">
        <v>20</v>
      </c>
      <c r="B23">
        <f>LOG('CPI base year 2015-01'!B22)</f>
        <v>2.0026952071274309</v>
      </c>
      <c r="C23">
        <f>LOG('CPI base year 2015-01'!C22)</f>
        <v>2.0076582913937568</v>
      </c>
      <c r="D23">
        <f>LOG('CPI base year 2015-01'!D22)</f>
        <v>2.0072987033852576</v>
      </c>
      <c r="E23">
        <f>LOG('CPI base year 2015-01'!E22)</f>
        <v>2.0238448804052349</v>
      </c>
    </row>
    <row r="24" spans="1:5" x14ac:dyDescent="0.3">
      <c r="A24" s="4" t="s">
        <v>21</v>
      </c>
      <c r="B24">
        <f>LOG('CPI base year 2015-01'!B23)</f>
        <v>2.0033867266096803</v>
      </c>
      <c r="C24">
        <f>LOG('CPI base year 2015-01'!C23)</f>
        <v>2.0084566270632371</v>
      </c>
      <c r="D24">
        <f>LOG('CPI base year 2015-01'!D23)</f>
        <v>2.0078939177445299</v>
      </c>
      <c r="E24">
        <f>LOG('CPI base year 2015-01'!E23)</f>
        <v>2.0244677639571287</v>
      </c>
    </row>
    <row r="25" spans="1:5" x14ac:dyDescent="0.3">
      <c r="A25" s="5" t="s">
        <v>22</v>
      </c>
      <c r="B25">
        <f>LOG('CPI base year 2015-01'!B24)</f>
        <v>2.0031427866209208</v>
      </c>
      <c r="C25">
        <f>LOG('CPI base year 2015-01'!C24)</f>
        <v>2.0108428664835998</v>
      </c>
      <c r="D25">
        <f>LOG('CPI base year 2015-01'!D24)</f>
        <v>2.0072535781299332</v>
      </c>
      <c r="E25">
        <f>LOG('CPI base year 2015-01'!E24)</f>
        <v>2.0265032028093515</v>
      </c>
    </row>
    <row r="26" spans="1:5" x14ac:dyDescent="0.3">
      <c r="A26" s="4" t="s">
        <v>23</v>
      </c>
      <c r="B26">
        <f>LOG('CPI base year 2015-01'!B25)</f>
        <v>2.0037117669331348</v>
      </c>
      <c r="C26">
        <f>LOG('CPI base year 2015-01'!C25)</f>
        <v>2.012426439730953</v>
      </c>
      <c r="D26">
        <f>LOG('CPI base year 2015-01'!D25)</f>
        <v>2.0077271596223967</v>
      </c>
      <c r="E26">
        <f>LOG('CPI base year 2015-01'!E25)</f>
        <v>2.0283235839202027</v>
      </c>
    </row>
    <row r="27" spans="1:5" x14ac:dyDescent="0.3">
      <c r="A27" s="5" t="s">
        <v>24</v>
      </c>
      <c r="B27">
        <f>LOG('CPI base year 2015-01'!B26)</f>
        <v>2.0043874449197965</v>
      </c>
      <c r="C27">
        <f>LOG('CPI base year 2015-01'!C26)</f>
        <v>2.0140042597476531</v>
      </c>
      <c r="D27">
        <f>LOG('CPI base year 2015-01'!D26)</f>
        <v>2.0123188305093902</v>
      </c>
      <c r="E27">
        <f>LOG('CPI base year 2015-01'!E26)</f>
        <v>2.0325190460148765</v>
      </c>
    </row>
    <row r="28" spans="1:5" x14ac:dyDescent="0.3">
      <c r="A28" s="4" t="s">
        <v>25</v>
      </c>
      <c r="B28">
        <f>LOG('CPI base year 2015-01'!B27)</f>
        <v>2.004559835308843</v>
      </c>
      <c r="C28">
        <f>LOG('CPI base year 2015-01'!C27)</f>
        <v>2.0155763681861854</v>
      </c>
      <c r="D28">
        <f>LOG('CPI base year 2015-01'!D27)</f>
        <v>2.0135036878293784</v>
      </c>
      <c r="E28">
        <f>LOG('CPI base year 2015-01'!E27)</f>
        <v>2.0335362277143347</v>
      </c>
    </row>
    <row r="29" spans="1:5" x14ac:dyDescent="0.3">
      <c r="A29" s="5" t="s">
        <v>26</v>
      </c>
      <c r="B29">
        <f>LOG('CPI base year 2015-01'!B28)</f>
        <v>2.0025732023530476</v>
      </c>
      <c r="C29">
        <f>LOG('CPI base year 2015-01'!C28)</f>
        <v>2.0155763681861854</v>
      </c>
      <c r="D29">
        <f>LOG('CPI base year 2015-01'!D28)</f>
        <v>2.0132055507531912</v>
      </c>
      <c r="E29">
        <f>LOG('CPI base year 2015-01'!E28)</f>
        <v>2.0334684695916461</v>
      </c>
    </row>
    <row r="30" spans="1:5" x14ac:dyDescent="0.3">
      <c r="A30" s="4" t="s">
        <v>27</v>
      </c>
      <c r="B30">
        <f>LOG('CPI base year 2015-01'!B29)</f>
        <v>2.0032652363318109</v>
      </c>
      <c r="C30">
        <f>LOG('CPI base year 2015-01'!C29)</f>
        <v>2.0171428062483301</v>
      </c>
      <c r="D30">
        <f>LOG('CPI base year 2015-01'!D29)</f>
        <v>2.0126576911547351</v>
      </c>
      <c r="E30">
        <f>LOG('CPI base year 2015-01'!E29)</f>
        <v>2.0338409082074058</v>
      </c>
    </row>
    <row r="31" spans="1:5" x14ac:dyDescent="0.3">
      <c r="A31" s="5" t="s">
        <v>28</v>
      </c>
      <c r="B31">
        <f>LOG('CPI base year 2015-01'!B30)</f>
        <v>2.0039130182078426</v>
      </c>
      <c r="C31">
        <f>LOG('CPI base year 2015-01'!C30)</f>
        <v>2.0167517260941201</v>
      </c>
      <c r="D31">
        <f>LOG('CPI base year 2015-01'!D30)</f>
        <v>2.0131209671553192</v>
      </c>
      <c r="E31">
        <f>LOG('CPI base year 2015-01'!E30)</f>
        <v>2.0355297018022136</v>
      </c>
    </row>
    <row r="32" spans="1:5" x14ac:dyDescent="0.3">
      <c r="A32" s="4" t="s">
        <v>29</v>
      </c>
      <c r="B32">
        <f>LOG('CPI base year 2015-01'!B31)</f>
        <v>2.0039993161677701</v>
      </c>
      <c r="C32">
        <f>LOG('CPI base year 2015-01'!C31)</f>
        <v>2.0167517260941201</v>
      </c>
      <c r="D32">
        <f>LOG('CPI base year 2015-01'!D31)</f>
        <v>2.0121939204348451</v>
      </c>
      <c r="E32">
        <f>LOG('CPI base year 2015-01'!E31)</f>
        <v>2.038519630451245</v>
      </c>
    </row>
    <row r="33" spans="1:5" x14ac:dyDescent="0.3">
      <c r="A33" s="5" t="s">
        <v>30</v>
      </c>
      <c r="B33">
        <f>LOG('CPI base year 2015-01'!B32)</f>
        <v>2.003438072661583</v>
      </c>
      <c r="C33">
        <f>LOG('CPI base year 2015-01'!C32)</f>
        <v>2.0171428062483301</v>
      </c>
      <c r="D33">
        <f>LOG('CPI base year 2015-01'!D32)</f>
        <v>2.0129116632403807</v>
      </c>
      <c r="E33">
        <f>LOG('CPI base year 2015-01'!E32)</f>
        <v>2.0394560402229809</v>
      </c>
    </row>
    <row r="34" spans="1:5" x14ac:dyDescent="0.3">
      <c r="A34" s="4" t="s">
        <v>31</v>
      </c>
      <c r="B34">
        <f>LOG('CPI base year 2015-01'!B33)</f>
        <v>2.0039130182078426</v>
      </c>
      <c r="C34">
        <f>LOG('CPI base year 2015-01'!C33)</f>
        <v>2.0179239116421708</v>
      </c>
      <c r="D34">
        <f>LOG('CPI base year 2015-01'!D33)</f>
        <v>2.015394532957302</v>
      </c>
      <c r="E34">
        <f>LOG('CPI base year 2015-01'!E33)</f>
        <v>2.0391552750399695</v>
      </c>
    </row>
    <row r="35" spans="1:5" x14ac:dyDescent="0.3">
      <c r="A35" s="5" t="s">
        <v>32</v>
      </c>
      <c r="B35">
        <f>LOG('CPI base year 2015-01'!B34)</f>
        <v>2.0064087230794181</v>
      </c>
      <c r="C35">
        <f>LOG('CPI base year 2015-01'!C34)</f>
        <v>2.020646769977644</v>
      </c>
      <c r="D35">
        <f>LOG('CPI base year 2015-01'!D34)</f>
        <v>2.0158991405759825</v>
      </c>
      <c r="E35">
        <f>LOG('CPI base year 2015-01'!E34)</f>
        <v>2.0397232507850807</v>
      </c>
    </row>
    <row r="36" spans="1:5" x14ac:dyDescent="0.3">
      <c r="A36" s="4" t="s">
        <v>33</v>
      </c>
      <c r="B36">
        <f>LOG('CPI base year 2015-01'!B35)</f>
        <v>2.0070946769940323</v>
      </c>
      <c r="C36">
        <f>LOG('CPI base year 2015-01'!C35)</f>
        <v>2.0218085035689204</v>
      </c>
      <c r="D36">
        <f>LOG('CPI base year 2015-01'!D35)</f>
        <v>2.0154786749531923</v>
      </c>
      <c r="E36">
        <f>LOG('CPI base year 2015-01'!E35)</f>
        <v>2.0397565972589873</v>
      </c>
    </row>
    <row r="37" spans="1:5" x14ac:dyDescent="0.3">
      <c r="A37" s="5" t="s">
        <v>34</v>
      </c>
      <c r="B37">
        <f>LOG('CPI base year 2015-01'!B36)</f>
        <v>2.0073944414760136</v>
      </c>
      <c r="C37">
        <f>LOG('CPI base year 2015-01'!C36)</f>
        <v>2.023737846954786</v>
      </c>
      <c r="D37">
        <f>LOG('CPI base year 2015-01'!D36)</f>
        <v>2.0122340740197635</v>
      </c>
      <c r="E37">
        <f>LOG('CPI base year 2015-01'!E36)</f>
        <v>2.0406237449555436</v>
      </c>
    </row>
    <row r="38" spans="1:5" x14ac:dyDescent="0.3">
      <c r="A38" s="4" t="s">
        <v>35</v>
      </c>
      <c r="B38">
        <f>LOG('CPI base year 2015-01'!B37)</f>
        <v>2.007051836601208</v>
      </c>
      <c r="C38">
        <f>LOG('CPI base year 2015-01'!C37)</f>
        <v>2.0248913522329177</v>
      </c>
      <c r="D38">
        <f>LOG('CPI base year 2015-01'!D37)</f>
        <v>2.0137971751267365</v>
      </c>
      <c r="E38">
        <f>LOG('CPI base year 2015-01'!E37)</f>
        <v>2.0437112655248506</v>
      </c>
    </row>
    <row r="39" spans="1:5" x14ac:dyDescent="0.3">
      <c r="A39" s="5" t="s">
        <v>36</v>
      </c>
      <c r="B39">
        <f>LOG('CPI base year 2015-01'!B38)</f>
        <v>2.0073516306443069</v>
      </c>
      <c r="C39">
        <f>LOG('CPI base year 2015-01'!C38)</f>
        <v>2.0287143917256767</v>
      </c>
      <c r="D39">
        <f>LOG('CPI base year 2015-01'!D38)</f>
        <v>2.0156070707883762</v>
      </c>
      <c r="E39">
        <f>LOG('CPI base year 2015-01'!E38)</f>
        <v>2.0464154868668554</v>
      </c>
    </row>
    <row r="40" spans="1:5" x14ac:dyDescent="0.3">
      <c r="A40" s="4" t="s">
        <v>37</v>
      </c>
      <c r="B40">
        <f>LOG('CPI base year 2015-01'!B39)</f>
        <v>2.0063658149647852</v>
      </c>
      <c r="C40">
        <f>LOG('CPI base year 2015-01'!C39)</f>
        <v>2.0318308186025402</v>
      </c>
      <c r="D40">
        <f>LOG('CPI base year 2015-01'!D39)</f>
        <v>2.0189101423098066</v>
      </c>
      <c r="E40">
        <f>LOG('CPI base year 2015-01'!E39)</f>
        <v>2.047138194282538</v>
      </c>
    </row>
    <row r="41" spans="1:5" x14ac:dyDescent="0.3">
      <c r="A41" s="5" t="s">
        <v>38</v>
      </c>
      <c r="B41">
        <f>LOG('CPI base year 2015-01'!B40)</f>
        <v>2.0059794510449591</v>
      </c>
      <c r="C41">
        <f>LOG('CPI base year 2015-01'!C40)</f>
        <v>2.0340432252307439</v>
      </c>
      <c r="D41">
        <f>LOG('CPI base year 2015-01'!D40)</f>
        <v>2.0184530040620996</v>
      </c>
      <c r="E41">
        <f>LOG('CPI base year 2015-01'!E40)</f>
        <v>2.0479906936206733</v>
      </c>
    </row>
    <row r="42" spans="1:5" x14ac:dyDescent="0.3">
      <c r="A42" s="4" t="s">
        <v>39</v>
      </c>
      <c r="B42">
        <f>LOG('CPI base year 2015-01'!B41)</f>
        <v>2.0079078425586419</v>
      </c>
      <c r="C42">
        <f>LOG('CPI base year 2015-01'!C41)</f>
        <v>2.0358050713870304</v>
      </c>
      <c r="D42">
        <f>LOG('CPI base year 2015-01'!D41)</f>
        <v>2.0192439008392187</v>
      </c>
      <c r="E42">
        <f>LOG('CPI base year 2015-01'!E41)</f>
        <v>2.0484163650758855</v>
      </c>
    </row>
    <row r="43" spans="1:5" x14ac:dyDescent="0.3">
      <c r="A43" s="5" t="s">
        <v>40</v>
      </c>
      <c r="B43">
        <f>LOG('CPI base year 2015-01'!B42)</f>
        <v>2.0103382436261708</v>
      </c>
      <c r="C43">
        <f>LOG('CPI base year 2015-01'!C42)</f>
        <v>2.0366833213969522</v>
      </c>
      <c r="D43">
        <f>LOG('CPI base year 2015-01'!D42)</f>
        <v>2.0194545636206858</v>
      </c>
      <c r="E43">
        <f>LOG('CPI base year 2015-01'!E42)</f>
        <v>2.0493316993907795</v>
      </c>
    </row>
    <row r="44" spans="1:5" x14ac:dyDescent="0.3">
      <c r="A44" s="4" t="s">
        <v>41</v>
      </c>
      <c r="B44">
        <f>LOG('CPI base year 2015-01'!B43)</f>
        <v>2.0099553991587387</v>
      </c>
      <c r="C44">
        <f>LOG('CPI base year 2015-01'!C43)</f>
        <v>2.0384345111967157</v>
      </c>
      <c r="D44">
        <f>LOG('CPI base year 2015-01'!D43)</f>
        <v>2.0185761270872074</v>
      </c>
      <c r="E44">
        <f>LOG('CPI base year 2015-01'!E43)</f>
        <v>2.0518714197004453</v>
      </c>
    </row>
    <row r="45" spans="1:5" x14ac:dyDescent="0.3">
      <c r="A45" s="5" t="s">
        <v>42</v>
      </c>
      <c r="B45">
        <f>LOG('CPI base year 2015-01'!B44)</f>
        <v>2.0097247639457017</v>
      </c>
      <c r="C45">
        <f>LOG('CPI base year 2015-01'!C44)</f>
        <v>2.0419158483306292</v>
      </c>
      <c r="D45">
        <f>LOG('CPI base year 2015-01'!D44)</f>
        <v>2.0177443684810514</v>
      </c>
      <c r="E45">
        <f>LOG('CPI base year 2015-01'!E44)</f>
        <v>2.0530710359371485</v>
      </c>
    </row>
    <row r="46" spans="1:5" x14ac:dyDescent="0.3">
      <c r="A46" s="4" t="s">
        <v>43</v>
      </c>
      <c r="B46">
        <f>LOG('CPI base year 2015-01'!B45)</f>
        <v>2.0108906460552025</v>
      </c>
      <c r="C46">
        <f>LOG('CPI base year 2015-01'!C45)</f>
        <v>2.0457992823904037</v>
      </c>
      <c r="D46">
        <f>LOG('CPI base year 2015-01'!D45)</f>
        <v>2.0215686897235661</v>
      </c>
      <c r="E46">
        <f>LOG('CPI base year 2015-01'!E45)</f>
        <v>2.0528443199470967</v>
      </c>
    </row>
    <row r="47" spans="1:5" x14ac:dyDescent="0.3">
      <c r="A47" s="5" t="s">
        <v>44</v>
      </c>
      <c r="B47">
        <f>LOG('CPI base year 2015-01'!B46)</f>
        <v>2.0121627456229061</v>
      </c>
      <c r="C47">
        <f>LOG('CPI base year 2015-01'!C46)</f>
        <v>2.0500738688863125</v>
      </c>
      <c r="D47">
        <f>LOG('CPI base year 2015-01'!D46)</f>
        <v>2.0248702336632181</v>
      </c>
      <c r="E47">
        <f>LOG('CPI base year 2015-01'!E46)</f>
        <v>2.0520661838042664</v>
      </c>
    </row>
    <row r="48" spans="1:5" x14ac:dyDescent="0.3">
      <c r="A48" s="4" t="s">
        <v>45</v>
      </c>
      <c r="B48">
        <f>LOG('CPI base year 2015-01'!B47)</f>
        <v>2.0124167190113744</v>
      </c>
      <c r="C48">
        <f>LOG('CPI base year 2015-01'!C47)</f>
        <v>2.0509237605115627</v>
      </c>
      <c r="D48">
        <f>LOG('CPI base year 2015-01'!D47)</f>
        <v>2.024089526112169</v>
      </c>
      <c r="E48">
        <f>LOG('CPI base year 2015-01'!E47)</f>
        <v>2.0532652149640058</v>
      </c>
    </row>
    <row r="49" spans="1:5" x14ac:dyDescent="0.3">
      <c r="A49" s="5" t="s">
        <v>46</v>
      </c>
      <c r="B49">
        <f>LOG('CPI base year 2015-01'!B48)</f>
        <v>2.0114423467464611</v>
      </c>
      <c r="C49">
        <f>LOG('CPI base year 2015-01'!C48)</f>
        <v>2.04964829856132</v>
      </c>
      <c r="D49">
        <f>LOG('CPI base year 2015-01'!D48)</f>
        <v>2.0209919373387963</v>
      </c>
      <c r="E49">
        <f>LOG('CPI base year 2015-01'!E48)</f>
        <v>2.0544287085782016</v>
      </c>
    </row>
    <row r="50" spans="1:5" x14ac:dyDescent="0.3">
      <c r="A50" s="4" t="s">
        <v>47</v>
      </c>
      <c r="B50">
        <f>LOG('CPI base year 2015-01'!B49)</f>
        <v>2.0085914346043978</v>
      </c>
      <c r="C50">
        <f>LOG('CPI base year 2015-01'!C49)</f>
        <v>2.0470860817967198</v>
      </c>
      <c r="D50">
        <f>LOG('CPI base year 2015-01'!D49)</f>
        <v>2.0194940515185658</v>
      </c>
      <c r="E50">
        <f>LOG('CPI base year 2015-01'!E49)</f>
        <v>2.0570993007215481</v>
      </c>
    </row>
    <row r="51" spans="1:5" x14ac:dyDescent="0.3">
      <c r="A51" s="5" t="s">
        <v>48</v>
      </c>
      <c r="B51">
        <f>LOG('CPI base year 2015-01'!B50)</f>
        <v>2.0085060444189278</v>
      </c>
      <c r="C51">
        <f>LOG('CPI base year 2015-01'!C50)</f>
        <v>2.0475141690486343</v>
      </c>
      <c r="D51">
        <f>LOG('CPI base year 2015-01'!D50)</f>
        <v>2.0190375278034676</v>
      </c>
      <c r="E51">
        <f>LOG('CPI base year 2015-01'!E50)</f>
        <v>2.0585083822153636</v>
      </c>
    </row>
    <row r="52" spans="1:5" x14ac:dyDescent="0.3">
      <c r="A52" s="4" t="s">
        <v>49</v>
      </c>
      <c r="B52">
        <f>LOG('CPI base year 2015-01'!B51)</f>
        <v>2.0095296202208077</v>
      </c>
      <c r="C52">
        <f>LOG('CPI base year 2015-01'!C51)</f>
        <v>2.0479418347473031</v>
      </c>
      <c r="D52">
        <f>LOG('CPI base year 2015-01'!D51)</f>
        <v>2.0209088568550966</v>
      </c>
      <c r="E52">
        <f>LOG('CPI base year 2015-01'!E51)</f>
        <v>2.0581565639276671</v>
      </c>
    </row>
    <row r="53" spans="1:5" x14ac:dyDescent="0.3">
      <c r="A53" s="5" t="s">
        <v>50</v>
      </c>
      <c r="B53">
        <f>LOG('CPI base year 2015-01'!B52)</f>
        <v>2.0113150933934278</v>
      </c>
      <c r="C53">
        <f>LOG('CPI base year 2015-01'!C52)</f>
        <v>2.0483690797221472</v>
      </c>
      <c r="D53">
        <f>LOG('CPI base year 2015-01'!D52)</f>
        <v>2.0200771767150076</v>
      </c>
      <c r="E53">
        <f>LOG('CPI base year 2015-01'!E52)</f>
        <v>2.0586362971839116</v>
      </c>
    </row>
    <row r="54" spans="1:5" x14ac:dyDescent="0.3">
      <c r="A54" s="4" t="s">
        <v>51</v>
      </c>
      <c r="B54">
        <f>LOG('CPI base year 2015-01'!B53)</f>
        <v>2.0132199896376641</v>
      </c>
      <c r="C54">
        <f>LOG('CPI base year 2015-01'!C53)</f>
        <v>2.04964829856132</v>
      </c>
      <c r="D54">
        <f>LOG('CPI base year 2015-01'!D53)</f>
        <v>2.0216516440892009</v>
      </c>
      <c r="E54">
        <f>LOG('CPI base year 2015-01'!E53)</f>
        <v>2.0605499012830175</v>
      </c>
    </row>
    <row r="55" spans="1:5" x14ac:dyDescent="0.3">
      <c r="A55" s="5" t="s">
        <v>52</v>
      </c>
      <c r="B55">
        <f>LOG('CPI base year 2015-01'!B54)</f>
        <v>2.0152847516516554</v>
      </c>
      <c r="C55">
        <f>LOG('CPI base year 2015-01'!C54)</f>
        <v>2.0504990225980961</v>
      </c>
      <c r="D55">
        <f>LOG('CPI base year 2015-01'!D54)</f>
        <v>2.0223975212131307</v>
      </c>
      <c r="E55">
        <f>LOG('CPI base year 2015-01'!E54)</f>
        <v>2.0634994310168628</v>
      </c>
    </row>
    <row r="56" spans="1:5" x14ac:dyDescent="0.3">
      <c r="A56" s="4" t="s">
        <v>53</v>
      </c>
      <c r="B56">
        <f>LOG('CPI base year 2015-01'!B55)</f>
        <v>2.0137265540207996</v>
      </c>
      <c r="C56">
        <f>LOG('CPI base year 2015-01'!C55)</f>
        <v>2.0500738688863125</v>
      </c>
      <c r="D56">
        <f>LOG('CPI base year 2015-01'!D55)</f>
        <v>2.0216952979181082</v>
      </c>
      <c r="E56">
        <f>LOG('CPI base year 2015-01'!E55)</f>
        <v>2.0658950296470522</v>
      </c>
    </row>
    <row r="57" spans="1:5" x14ac:dyDescent="0.3">
      <c r="A57" s="5" t="s">
        <v>54</v>
      </c>
      <c r="B57">
        <f>LOG('CPI base year 2015-01'!B56)</f>
        <v>2.0139796148118214</v>
      </c>
      <c r="C57">
        <f>LOG('CPI base year 2015-01'!C56)</f>
        <v>2.0513480834392142</v>
      </c>
      <c r="D57">
        <f>LOG('CPI base year 2015-01'!D56)</f>
        <v>2.0203662567003229</v>
      </c>
      <c r="E57">
        <f>LOG('CPI base year 2015-01'!E56)</f>
        <v>2.0672446061101089</v>
      </c>
    </row>
    <row r="58" spans="1:5" x14ac:dyDescent="0.3">
      <c r="A58" s="4" t="s">
        <v>55</v>
      </c>
      <c r="B58">
        <f>LOG('CPI base year 2015-01'!B57)</f>
        <v>2.0131355047659061</v>
      </c>
      <c r="C58">
        <f>LOG('CPI base year 2015-01'!C57)</f>
        <v>2.0517719921911755</v>
      </c>
      <c r="D58">
        <f>LOG('CPI base year 2015-01'!D57)</f>
        <v>2.0214071015250834</v>
      </c>
      <c r="E58">
        <f>LOG('CPI base year 2015-01'!E57)</f>
        <v>2.0677456752506926</v>
      </c>
    </row>
    <row r="59" spans="1:5" x14ac:dyDescent="0.3">
      <c r="A59" s="5" t="s">
        <v>56</v>
      </c>
      <c r="B59">
        <f>LOG('CPI base year 2015-01'!B58)</f>
        <v>2.0135577648690823</v>
      </c>
      <c r="C59">
        <f>LOG('CPI base year 2015-01'!C58)</f>
        <v>2.0521954875751995</v>
      </c>
      <c r="D59">
        <f>LOG('CPI base year 2015-01'!D58)</f>
        <v>2.0230159324808472</v>
      </c>
      <c r="E59">
        <f>LOG('CPI base year 2015-01'!E58)</f>
        <v>2.0665546209622772</v>
      </c>
    </row>
    <row r="60" spans="1:5" x14ac:dyDescent="0.3">
      <c r="A60" s="4" t="s">
        <v>57</v>
      </c>
      <c r="B60">
        <f>LOG('CPI base year 2015-01'!B59)</f>
        <v>2.0128819514949674</v>
      </c>
      <c r="C60">
        <f>LOG('CPI base year 2015-01'!C59)</f>
        <v>2.0534635015618354</v>
      </c>
      <c r="D60">
        <f>LOG('CPI base year 2015-01'!D59)</f>
        <v>2.024089526112169</v>
      </c>
      <c r="E60">
        <f>LOG('CPI base year 2015-01'!E59)</f>
        <v>2.0666487532829665</v>
      </c>
    </row>
    <row r="61" spans="1:5" x14ac:dyDescent="0.3">
      <c r="A61" s="5" t="s">
        <v>58</v>
      </c>
      <c r="B61">
        <f>LOG('CPI base year 2015-01'!B60)</f>
        <v>2.0123320777166409</v>
      </c>
      <c r="C61">
        <f>LOG('CPI base year 2015-01'!C60)</f>
        <v>2.0547278240905951</v>
      </c>
      <c r="D61">
        <f>LOG('CPI base year 2015-01'!D60)</f>
        <v>2.0216516440892009</v>
      </c>
      <c r="E61">
        <f>LOG('CPI base year 2015-01'!E60)</f>
        <v>2.0672759514829111</v>
      </c>
    </row>
    <row r="62" spans="1:5" x14ac:dyDescent="0.3">
      <c r="A62" s="4" t="s">
        <v>59</v>
      </c>
      <c r="B62">
        <f>LOG('CPI base year 2015-01'!B61)</f>
        <v>2.0123744004260149</v>
      </c>
      <c r="C62">
        <f>LOG('CPI base year 2015-01'!C61)</f>
        <v>2.0572454803118414</v>
      </c>
      <c r="D62">
        <f>LOG('CPI base year 2015-01'!D61)</f>
        <v>2.0226894165377556</v>
      </c>
      <c r="E62">
        <f>LOG('CPI base year 2015-01'!E61)</f>
        <v>2.0687461288066564</v>
      </c>
    </row>
    <row r="63" spans="1:5" x14ac:dyDescent="0.3">
      <c r="A63" s="5" t="s">
        <v>60</v>
      </c>
      <c r="B63">
        <f>LOG('CPI base year 2015-01'!B62)</f>
        <v>2.0130510034558036</v>
      </c>
      <c r="C63">
        <f>LOG('CPI base year 2015-01'!C62)</f>
        <v>2.0601644172464755</v>
      </c>
      <c r="D63">
        <f>LOG('CPI base year 2015-01'!D62)</f>
        <v>2.0243021911169756</v>
      </c>
      <c r="E63">
        <f>LOG('CPI base year 2015-01'!E62)</f>
        <v>2.0699934980978401</v>
      </c>
    </row>
    <row r="64" spans="1:5" x14ac:dyDescent="0.3">
      <c r="A64" s="4" t="s">
        <v>61</v>
      </c>
      <c r="B64">
        <f>LOG('CPI base year 2015-01'!B63)</f>
        <v>2.0127128337039277</v>
      </c>
      <c r="C64">
        <f>LOG('CPI base year 2015-01'!C63)</f>
        <v>2.0584988563099387</v>
      </c>
      <c r="D64">
        <f>LOG('CPI base year 2015-01'!D63)</f>
        <v>2.0246058177334199</v>
      </c>
      <c r="E64">
        <f>LOG('CPI base year 2015-01'!E63)</f>
        <v>2.0711990094153845</v>
      </c>
    </row>
    <row r="65" spans="1:5" x14ac:dyDescent="0.3">
      <c r="A65" s="5" t="s">
        <v>62</v>
      </c>
      <c r="B65">
        <f>LOG('CPI base year 2015-01'!B64)</f>
        <v>2.0089754828079687</v>
      </c>
      <c r="C65">
        <f>LOG('CPI base year 2015-01'!C64)</f>
        <v>2.0576636743565797</v>
      </c>
      <c r="D65">
        <f>LOG('CPI base year 2015-01'!D64)</f>
        <v>2.0236508469736334</v>
      </c>
      <c r="E65">
        <f>LOG('CPI base year 2015-01'!E64)</f>
        <v>2.0716138965936328</v>
      </c>
    </row>
    <row r="66" spans="1:5" x14ac:dyDescent="0.3">
      <c r="A66" s="4" t="s">
        <v>63</v>
      </c>
      <c r="B66">
        <f>LOG('CPI base year 2015-01'!B65)</f>
        <v>2.0000552944654348</v>
      </c>
      <c r="C66">
        <f>LOG('CPI base year 2015-01'!C65)</f>
        <v>2.0572454803118414</v>
      </c>
      <c r="D66">
        <f>LOG('CPI base year 2015-01'!D65)</f>
        <v>2.0217345826127908</v>
      </c>
      <c r="E66">
        <f>LOG('CPI base year 2015-01'!E65)</f>
        <v>2.0719455671416611</v>
      </c>
    </row>
    <row r="67" spans="1:5" x14ac:dyDescent="0.3">
      <c r="A67" s="5" t="s">
        <v>64</v>
      </c>
      <c r="B67">
        <f>LOG('CPI base year 2015-01'!B66)</f>
        <v>2.0000988305771354</v>
      </c>
      <c r="C67">
        <f>LOG('CPI base year 2015-01'!C66)</f>
        <v>2.0572454803118414</v>
      </c>
      <c r="D67">
        <f>LOG('CPI base year 2015-01'!D66)</f>
        <v>2.0214726175006534</v>
      </c>
      <c r="E67">
        <f>LOG('CPI base year 2015-01'!E66)</f>
        <v>2.072235576972679</v>
      </c>
    </row>
    <row r="68" spans="1:5" x14ac:dyDescent="0.3">
      <c r="A68" s="4" t="s">
        <v>65</v>
      </c>
      <c r="B68">
        <f>LOG('CPI base year 2015-01'!B67)</f>
        <v>2.0068375712251596</v>
      </c>
      <c r="C68">
        <f>LOG('CPI base year 2015-01'!C67)</f>
        <v>2.0597486254656454</v>
      </c>
      <c r="D68">
        <f>LOG('CPI base year 2015-01'!D67)</f>
        <v>2.0226502181228834</v>
      </c>
      <c r="E68">
        <f>LOG('CPI base year 2015-01'!E67)</f>
        <v>2.0730216931433096</v>
      </c>
    </row>
    <row r="69" spans="1:5" x14ac:dyDescent="0.3">
      <c r="A69" s="5" t="s">
        <v>66</v>
      </c>
      <c r="B69">
        <f>LOG('CPI base year 2015-01'!B68)</f>
        <v>2.009699981890896</v>
      </c>
      <c r="C69">
        <f>LOG('CPI base year 2015-01'!C68)</f>
        <v>2.0618236149929605</v>
      </c>
      <c r="D69">
        <f>LOG('CPI base year 2015-01'!D68)</f>
        <v>2.0223016321851133</v>
      </c>
      <c r="E69">
        <f>LOG('CPI base year 2015-01'!E68)</f>
        <v>2.0725667732641258</v>
      </c>
    </row>
    <row r="70" spans="1:5" x14ac:dyDescent="0.3">
      <c r="A70" s="4" t="s">
        <v>67</v>
      </c>
      <c r="B70">
        <f>LOG('CPI base year 2015-01'!B69)</f>
        <v>2.010975568715212</v>
      </c>
      <c r="C70">
        <f>LOG('CPI base year 2015-01'!C69)</f>
        <v>2.0614094094471103</v>
      </c>
      <c r="D70">
        <f>LOG('CPI base year 2015-01'!D69)</f>
        <v>2.0247358784726712</v>
      </c>
      <c r="E70">
        <f>LOG('CPI base year 2015-01'!E69)</f>
        <v>2.0723597879714157</v>
      </c>
    </row>
    <row r="71" spans="1:5" x14ac:dyDescent="0.3">
      <c r="A71" s="5" t="s">
        <v>68</v>
      </c>
      <c r="B71">
        <f>LOG('CPI base year 2015-01'!B70)</f>
        <v>2.0105082884528938</v>
      </c>
      <c r="C71">
        <f>LOG('CPI base year 2015-01'!C70)</f>
        <v>2.0618236149929605</v>
      </c>
      <c r="D71">
        <f>LOG('CPI base year 2015-01'!D70)</f>
        <v>2.0271134483887581</v>
      </c>
      <c r="E71">
        <f>LOG('CPI base year 2015-01'!E70)</f>
        <v>2.0721527498996082</v>
      </c>
    </row>
    <row r="72" spans="1:5" x14ac:dyDescent="0.3">
      <c r="A72" s="4" t="s">
        <v>69</v>
      </c>
      <c r="B72">
        <f>LOG('CPI base year 2015-01'!B71)</f>
        <v>2.0107207509011915</v>
      </c>
      <c r="C72">
        <f>LOG('CPI base year 2015-01'!C71)</f>
        <v>2.063476497984889</v>
      </c>
      <c r="D72">
        <f>LOG('CPI base year 2015-01'!D71)</f>
        <v>2.0246925292205611</v>
      </c>
      <c r="E72">
        <f>LOG('CPI base year 2015-01'!E71)</f>
        <v>2.072442575572107</v>
      </c>
    </row>
    <row r="73" spans="1:5" x14ac:dyDescent="0.3">
      <c r="A73" s="5" t="s">
        <v>70</v>
      </c>
      <c r="B73">
        <f>LOG('CPI base year 2015-01'!B72)</f>
        <v>2.0105507892585162</v>
      </c>
      <c r="C73">
        <f>LOG('CPI base year 2015-01'!C72)</f>
        <v>2.0675813913226992</v>
      </c>
      <c r="D73">
        <f>LOG('CPI base year 2015-01'!D72)</f>
        <v>2.0243021911169756</v>
      </c>
      <c r="E73">
        <f>LOG('CPI base year 2015-01'!E72)</f>
        <v>2.073641317238184</v>
      </c>
    </row>
    <row r="74" spans="1:5" x14ac:dyDescent="0.3">
      <c r="A74" s="4" t="s">
        <v>71</v>
      </c>
      <c r="B74">
        <f>LOG('CPI base year 2015-01'!B73)</f>
        <v>2.0111878027427479</v>
      </c>
      <c r="C74">
        <f>LOG('CPI base year 2015-01'!C73)</f>
        <v>2.0712429121561535</v>
      </c>
      <c r="D74">
        <f>LOG('CPI base year 2015-01'!D73)</f>
        <v>2.0253423141134634</v>
      </c>
      <c r="E74">
        <f>LOG('CPI base year 2015-01'!E73)</f>
        <v>2.0755770950471466</v>
      </c>
    </row>
    <row r="75" spans="1:5" x14ac:dyDescent="0.3">
      <c r="A75" s="5" t="s">
        <v>72</v>
      </c>
      <c r="B75">
        <f>LOG('CPI base year 2015-01'!B74)</f>
        <v>2.0115881010169918</v>
      </c>
      <c r="C75">
        <f>LOG('CPI base year 2015-01'!C74)</f>
        <v>2.0760774090017708</v>
      </c>
      <c r="D75">
        <f>LOG('CPI base year 2015-01'!D74)</f>
        <v>2.0284048394143399</v>
      </c>
      <c r="E75">
        <f>LOG('CPI base year 2015-01'!E74)</f>
        <v>2.0766852605214448</v>
      </c>
    </row>
    <row r="76" spans="1:5" x14ac:dyDescent="0.3">
      <c r="A76" s="4" t="s">
        <v>73</v>
      </c>
      <c r="B76">
        <f>LOG('CPI base year 2015-01'!B75)</f>
        <v>2.0076095361358441</v>
      </c>
      <c r="C76">
        <f>LOG('CPI base year 2015-01'!C75)</f>
        <v>2.0764778649839508</v>
      </c>
      <c r="D76">
        <f>LOG('CPI base year 2015-01'!D75)</f>
        <v>2.0307197103596444</v>
      </c>
      <c r="E76">
        <f>LOG('CPI base year 2015-01'!E75)</f>
        <v>2.0771358889371609</v>
      </c>
    </row>
    <row r="77" spans="1:5" x14ac:dyDescent="0.3">
      <c r="A77" s="5" t="s">
        <v>74</v>
      </c>
      <c r="B77">
        <f>LOG('CPI base year 2015-01'!B76)</f>
        <v>2.0086185545283914</v>
      </c>
      <c r="C77">
        <f>LOG('CPI base year 2015-01'!C76)</f>
        <v>2.075275387569953</v>
      </c>
      <c r="D77">
        <f>LOG('CPI base year 2015-01'!D76)</f>
        <v>2.0318298925126643</v>
      </c>
      <c r="E77">
        <f>LOG('CPI base year 2015-01'!E76)</f>
        <v>2.0775042828012213</v>
      </c>
    </row>
    <row r="78" spans="1:5" x14ac:dyDescent="0.3">
      <c r="A78" s="4" t="s">
        <v>75</v>
      </c>
      <c r="B78">
        <f>LOG('CPI base year 2015-01'!B77)</f>
        <v>2.0145807047842244</v>
      </c>
      <c r="C78">
        <f>LOG('CPI base year 2015-01'!C77)</f>
        <v>2.0748738207527131</v>
      </c>
      <c r="D78">
        <f>LOG('CPI base year 2015-01'!D77)</f>
        <v>2.0324265094985203</v>
      </c>
      <c r="E78">
        <f>LOG('CPI base year 2015-01'!E77)</f>
        <v>2.0780766943518176</v>
      </c>
    </row>
    <row r="79" spans="1:5" x14ac:dyDescent="0.3">
      <c r="A79" s="5" t="s">
        <v>76</v>
      </c>
      <c r="B79">
        <f>LOG('CPI base year 2015-01'!B78)</f>
        <v>2.0105423427545315</v>
      </c>
      <c r="C79">
        <f>LOG('CPI base year 2015-01'!C78)</f>
        <v>2.0748738207527131</v>
      </c>
      <c r="D79">
        <f>LOG('CPI base year 2015-01'!D78)</f>
        <v>2.032724510919155</v>
      </c>
      <c r="E79">
        <f>LOG('CPI base year 2015-01'!E78)</f>
        <v>2.0794637295590603</v>
      </c>
    </row>
    <row r="80" spans="1:5" x14ac:dyDescent="0.3">
      <c r="A80" s="4" t="s">
        <v>77</v>
      </c>
      <c r="B80">
        <f>LOG('CPI base year 2015-01'!B79)</f>
        <v>2.0121969658019427</v>
      </c>
      <c r="C80">
        <f>LOG('CPI base year 2015-01'!C79)</f>
        <v>2.0756765834247228</v>
      </c>
      <c r="D80">
        <f>LOG('CPI base year 2015-01'!D79)</f>
        <v>2.032724510919155</v>
      </c>
      <c r="E80">
        <f>LOG('CPI base year 2015-01'!E79)</f>
        <v>2.0787707430770515</v>
      </c>
    </row>
    <row r="81" spans="1:5" x14ac:dyDescent="0.3">
      <c r="A81" s="5" t="s">
        <v>78</v>
      </c>
      <c r="B81">
        <f>LOG('CPI base year 2015-01'!B80)</f>
        <v>2.0116751339795882</v>
      </c>
      <c r="C81">
        <f>LOG('CPI base year 2015-01'!C80)</f>
        <v>2.0776770221615637</v>
      </c>
      <c r="D81">
        <f>LOG('CPI base year 2015-01'!D80)</f>
        <v>2.0336172902575838</v>
      </c>
      <c r="E81">
        <f>LOG('CPI base year 2015-01'!E80)</f>
        <v>2.0790969947682822</v>
      </c>
    </row>
    <row r="82" spans="1:5" x14ac:dyDescent="0.3">
      <c r="A82" s="4" t="s">
        <v>79</v>
      </c>
      <c r="B82">
        <f>LOG('CPI base year 2015-01'!B81)</f>
        <v>2.0108912087091513</v>
      </c>
      <c r="C82">
        <f>LOG('CPI base year 2015-01'!C81)</f>
        <v>2.0800654487968142</v>
      </c>
      <c r="D82">
        <f>LOG('CPI base year 2015-01'!D81)</f>
        <v>2.0356933324151725</v>
      </c>
      <c r="E82">
        <f>LOG('CPI base year 2015-01'!E81)</f>
        <v>2.0792192590524259</v>
      </c>
    </row>
    <row r="83" spans="1:5" x14ac:dyDescent="0.3">
      <c r="A83" s="5" t="s">
        <v>80</v>
      </c>
      <c r="B83">
        <f>LOG('CPI base year 2015-01'!B82)</f>
        <v>2.0177245032492395</v>
      </c>
      <c r="C83">
        <f>LOG('CPI base year 2015-01'!C82)</f>
        <v>2.0796682887491054</v>
      </c>
      <c r="D83">
        <f>LOG('CPI base year 2015-01'!D82)</f>
        <v>2.0374649324087417</v>
      </c>
      <c r="E83">
        <f>LOG('CPI base year 2015-01'!E82)</f>
        <v>2.0790562323567436</v>
      </c>
    </row>
    <row r="84" spans="1:5" x14ac:dyDescent="0.3">
      <c r="A84" s="4" t="s">
        <v>81</v>
      </c>
      <c r="B84">
        <f>LOG('CPI base year 2015-01'!B83)</f>
        <v>2.0209309051883335</v>
      </c>
      <c r="C84">
        <f>LOG('CPI base year 2015-01'!C83)</f>
        <v>2.0804622459755393</v>
      </c>
      <c r="D84">
        <f>LOG('CPI base year 2015-01'!D83)</f>
        <v>2.0382219828303727</v>
      </c>
      <c r="E84">
        <f>LOG('CPI base year 2015-01'!E83)</f>
        <v>2.0795858906566815</v>
      </c>
    </row>
    <row r="85" spans="1:5" x14ac:dyDescent="0.3">
      <c r="A85" s="5" t="s">
        <v>82</v>
      </c>
      <c r="B85">
        <f>LOG('CPI base year 2015-01'!B84)</f>
        <v>2.0221643950704831</v>
      </c>
      <c r="C85">
        <f>LOG('CPI base year 2015-01'!C84)</f>
        <v>2.0832297213151687</v>
      </c>
      <c r="D85">
        <f>LOG('CPI base year 2015-01'!D84)</f>
        <v>2.0404016334878938</v>
      </c>
      <c r="E85">
        <f>LOG('CPI base year 2015-01'!E84)</f>
        <v>2.0811709558025564</v>
      </c>
    </row>
    <row r="86" spans="1:5" x14ac:dyDescent="0.3">
      <c r="A86" s="4" t="s">
        <v>83</v>
      </c>
      <c r="B86">
        <f>LOG('CPI base year 2015-01'!B85)</f>
        <v>2.0205047502312627</v>
      </c>
      <c r="C86">
        <f>LOG('CPI base year 2015-01'!C85)</f>
        <v>2.0844104048205319</v>
      </c>
      <c r="D86">
        <f>LOG('CPI base year 2015-01'!D85)</f>
        <v>2.0411118453909003</v>
      </c>
      <c r="E86">
        <f>LOG('CPI base year 2015-01'!E85)</f>
        <v>2.0836386565855669</v>
      </c>
    </row>
    <row r="87" spans="1:5" x14ac:dyDescent="0.3">
      <c r="A87" s="5" t="s">
        <v>84</v>
      </c>
      <c r="B87">
        <f>LOG('CPI base year 2015-01'!B86)</f>
        <v>1.9922770111207893</v>
      </c>
      <c r="C87">
        <f>LOG('CPI base year 2015-01'!C86)</f>
        <v>2.0891012999150118</v>
      </c>
      <c r="D87">
        <f>LOG('CPI base year 2015-01'!D86)</f>
        <v>2.0444799366684281</v>
      </c>
      <c r="E87">
        <f>LOG('CPI base year 2015-01'!E86)</f>
        <v>2.0860523482659237</v>
      </c>
    </row>
    <row r="88" spans="1:5" x14ac:dyDescent="0.3">
      <c r="A88" s="4" t="s">
        <v>85</v>
      </c>
      <c r="B88">
        <f>LOG('CPI base year 2015-01'!B87)</f>
        <v>1.9970733940127356</v>
      </c>
      <c r="C88">
        <f>LOG('CPI base year 2015-01'!C87)</f>
        <v>2.0894899303498069</v>
      </c>
      <c r="D88">
        <f>LOG('CPI base year 2015-01'!D87)</f>
        <v>2.046834513746004</v>
      </c>
      <c r="E88">
        <f>LOG('CPI base year 2015-01'!E87)</f>
        <v>2.085972070562137</v>
      </c>
    </row>
    <row r="89" spans="1:5" x14ac:dyDescent="0.3">
      <c r="A89" s="5" t="s">
        <v>86</v>
      </c>
      <c r="B89">
        <f>LOG('CPI base year 2015-01'!B88)</f>
        <v>2.0000332811209427</v>
      </c>
      <c r="C89">
        <f>LOG('CPI base year 2015-01'!C88)</f>
        <v>2.0922006492467835</v>
      </c>
      <c r="D89">
        <f>LOG('CPI base year 2015-01'!D88)</f>
        <v>2.0496268857684061</v>
      </c>
      <c r="E89">
        <f>LOG('CPI base year 2015-01'!E88)</f>
        <v>2.0888115332227493</v>
      </c>
    </row>
    <row r="90" spans="1:5" x14ac:dyDescent="0.3">
      <c r="A90" s="4" t="s">
        <v>87</v>
      </c>
      <c r="B90">
        <f>LOG('CPI base year 2015-01'!B89)</f>
        <v>2.0015502348293239</v>
      </c>
      <c r="C90">
        <f>LOG('CPI base year 2015-01'!C89)</f>
        <v>2.0956611813562902</v>
      </c>
      <c r="D90">
        <f>LOG('CPI base year 2015-01'!D89)</f>
        <v>2.0526047302609816</v>
      </c>
      <c r="E90">
        <f>LOG('CPI base year 2015-01'!E89)</f>
        <v>2.0928980195471798</v>
      </c>
    </row>
    <row r="91" spans="1:5" x14ac:dyDescent="0.3">
      <c r="A91" s="5" t="s">
        <v>88</v>
      </c>
      <c r="B91">
        <f>LOG('CPI base year 2015-01'!B90)</f>
        <v>2.0077412802539185</v>
      </c>
      <c r="C91">
        <f>LOG('CPI base year 2015-01'!C90)</f>
        <v>2.0975718508785026</v>
      </c>
      <c r="D91">
        <f>LOG('CPI base year 2015-01'!D90)</f>
        <v>2.0553199661186898</v>
      </c>
      <c r="E91">
        <f>LOG('CPI base year 2015-01'!E90)</f>
        <v>2.0946320497726334</v>
      </c>
    </row>
    <row r="92" spans="1:5" x14ac:dyDescent="0.3">
      <c r="A92" s="4" t="s">
        <v>89</v>
      </c>
      <c r="B92">
        <f>LOG('CPI base year 2015-01'!B91)</f>
        <v>2.0116751339795882</v>
      </c>
      <c r="C92">
        <f>LOG('CPI base year 2015-01'!C91)</f>
        <v>2.1013681554876875</v>
      </c>
      <c r="D92">
        <f>LOG('CPI base year 2015-01'!D91)</f>
        <v>2.0581788989050911</v>
      </c>
      <c r="E92">
        <f>LOG('CPI base year 2015-01'!E91)</f>
        <v>2.0972592966234114</v>
      </c>
    </row>
    <row r="93" spans="1:5" x14ac:dyDescent="0.3">
      <c r="A93" s="5" t="s">
        <v>90</v>
      </c>
      <c r="B93">
        <f>LOG('CPI base year 2015-01'!B92)</f>
        <v>2.0109783814276097</v>
      </c>
      <c r="C93">
        <f>LOG('CPI base year 2015-01'!C92)</f>
        <v>2.1047566861908198</v>
      </c>
      <c r="D93">
        <f>LOG('CPI base year 2015-01'!D92)</f>
        <v>2.0602608898989039</v>
      </c>
      <c r="E93">
        <f>LOG('CPI base year 2015-01'!E92)</f>
        <v>2.1000262736916882</v>
      </c>
    </row>
    <row r="94" spans="1:5" x14ac:dyDescent="0.3">
      <c r="A94" s="4" t="s">
        <v>91</v>
      </c>
      <c r="B94">
        <f>LOG('CPI base year 2015-01'!B93)</f>
        <v>2.0111962367027592</v>
      </c>
      <c r="C94">
        <f>LOG('CPI base year 2015-01'!C93)</f>
        <v>2.1066278415278505</v>
      </c>
      <c r="D94">
        <f>LOG('CPI base year 2015-01'!D93)</f>
        <v>2.0598612814037396</v>
      </c>
      <c r="E94">
        <f>LOG('CPI base year 2015-01'!E93)</f>
        <v>2.0991317971932903</v>
      </c>
    </row>
    <row r="95" spans="1:5" x14ac:dyDescent="0.3">
      <c r="A95" s="5" t="s">
        <v>92</v>
      </c>
      <c r="B95">
        <f>LOG('CPI base year 2015-01'!B94)</f>
        <v>2.0121535037571823</v>
      </c>
      <c r="C95">
        <f>LOG('CPI base year 2015-01'!C94)</f>
        <v>2.108490969575783</v>
      </c>
      <c r="D95">
        <f>LOG('CPI base year 2015-01'!D94)</f>
        <v>2.0606202234369513</v>
      </c>
      <c r="E95">
        <f>LOG('CPI base year 2015-01'!E94)</f>
        <v>2.1041629449388481</v>
      </c>
    </row>
    <row r="96" spans="1:5" x14ac:dyDescent="0.3">
      <c r="A96" s="4" t="s">
        <v>93</v>
      </c>
      <c r="B96">
        <f>LOG('CPI base year 2015-01'!B95)</f>
        <v>2.0135854596833234</v>
      </c>
      <c r="C96">
        <f>LOG('CPI base year 2015-01'!C95)</f>
        <v>2.1125619318944917</v>
      </c>
      <c r="D96">
        <f>LOG('CPI base year 2015-01'!D95)</f>
        <v>2.0619750288649241</v>
      </c>
      <c r="E96">
        <f>LOG('CPI base year 2015-01'!E95)</f>
        <v>2.1037007485639734</v>
      </c>
    </row>
    <row r="97" spans="1:5" x14ac:dyDescent="0.3">
      <c r="A97" s="5" t="s">
        <v>94</v>
      </c>
      <c r="B97">
        <f>LOG('CPI base year 2015-01'!B96)</f>
        <v>2.0130219193272891</v>
      </c>
      <c r="C97">
        <f>LOG('CPI base year 2015-01'!C96)</f>
        <v>2.1165950881919335</v>
      </c>
      <c r="D97">
        <f>LOG('CPI base year 2015-01'!D96)</f>
        <v>2.0616168150026026</v>
      </c>
      <c r="E97">
        <f>LOG('CPI base year 2015-01'!E96)</f>
        <v>2.1040857330492906</v>
      </c>
    </row>
    <row r="98" spans="1:5" x14ac:dyDescent="0.3">
      <c r="A98" s="4" t="s">
        <v>95</v>
      </c>
      <c r="B98">
        <f>LOG('CPI base year 2015-01'!B97)</f>
        <v>2.0127615769384937</v>
      </c>
      <c r="C98">
        <f>LOG('CPI base year 2015-01'!C97)</f>
        <v>2.1180524535927527</v>
      </c>
      <c r="D98">
        <f>LOG('CPI base year 2015-01'!D97)</f>
        <v>2.0623726980456292</v>
      </c>
      <c r="E98">
        <f>LOG('CPI base year 2015-01'!E97)</f>
        <v>2.1069245693442675</v>
      </c>
    </row>
    <row r="99" spans="1:5" x14ac:dyDescent="0.3">
      <c r="A99" s="5" t="s">
        <v>96</v>
      </c>
      <c r="B99">
        <f>LOG('CPI base year 2015-01'!B98)</f>
        <v>2.0140617310336766</v>
      </c>
      <c r="C99">
        <f>LOG('CPI base year 2015-01'!C98)</f>
        <v>2.1252668135386412</v>
      </c>
      <c r="D99">
        <f>LOG('CPI base year 2015-01'!D98)</f>
        <v>2.0655804683426759</v>
      </c>
      <c r="E99">
        <f>LOG('CPI base year 2015-01'!E98)</f>
        <v>2.1084130964078613</v>
      </c>
    </row>
    <row r="100" spans="1:5" x14ac:dyDescent="0.3">
      <c r="A100" s="4" t="s">
        <v>97</v>
      </c>
      <c r="B100">
        <f>LOG('CPI base year 2015-01'!B99)</f>
        <v>2.0461258496103634</v>
      </c>
      <c r="C100">
        <f>LOG('CPI base year 2015-01'!C99)</f>
        <v>2.1252668135386412</v>
      </c>
      <c r="D100">
        <f>LOG('CPI base year 2015-01'!D99)</f>
        <v>2.0666051200457085</v>
      </c>
      <c r="E100">
        <f>LOG('CPI base year 2015-01'!E99)</f>
        <v>2.1090980999577189</v>
      </c>
    </row>
    <row r="101" spans="1:5" x14ac:dyDescent="0.3">
      <c r="A101" s="5" t="s">
        <v>98</v>
      </c>
      <c r="B101">
        <f>LOG('CPI base year 2015-01'!B100)</f>
        <v>2.0449586611060329</v>
      </c>
      <c r="C101">
        <f>LOG('CPI base year 2015-01'!C100)</f>
        <v>2.1241922699424549</v>
      </c>
      <c r="D101">
        <f>LOG('CPI base year 2015-01'!D100)</f>
        <v>2.0673523781115395</v>
      </c>
      <c r="E101">
        <f>LOG('CPI base year 2015-01'!E100)</f>
        <v>2.1098582306312714</v>
      </c>
    </row>
    <row r="102" spans="1:5" x14ac:dyDescent="0.3">
      <c r="A102" s="4" t="s">
        <v>99</v>
      </c>
      <c r="B102">
        <f>LOG('CPI base year 2015-01'!B101)</f>
        <v>2.0457639542755826</v>
      </c>
      <c r="C102">
        <f>LOG('CPI base year 2015-01'!C101)</f>
        <v>2.1234744276601742</v>
      </c>
      <c r="D102">
        <f>LOG('CPI base year 2015-01'!D101)</f>
        <v>2.0683336575789086</v>
      </c>
      <c r="E102">
        <f>LOG('CPI base year 2015-01'!E101)</f>
        <v>2.1112989916459086</v>
      </c>
    </row>
    <row r="103" spans="1:5" x14ac:dyDescent="0.3">
      <c r="A103" s="5" t="s">
        <v>100</v>
      </c>
      <c r="B103">
        <f>LOG('CPI base year 2015-01'!B102)</f>
        <v>2.0426553493132058</v>
      </c>
      <c r="C103">
        <f>LOG('CPI base year 2015-01'!C102)</f>
        <v>2.1234744276601742</v>
      </c>
      <c r="D103">
        <f>LOG('CPI base year 2015-01'!D102)</f>
        <v>2.0697428162148199</v>
      </c>
      <c r="E103">
        <f>LOG('CPI base year 2015-01'!E102)</f>
        <v>2.1116773020824469</v>
      </c>
    </row>
    <row r="104" spans="1:5" x14ac:dyDescent="0.3">
      <c r="A104" s="4" t="s">
        <v>101</v>
      </c>
      <c r="B104">
        <f>LOG('CPI base year 2015-01'!B103)</f>
        <v>2.0452406836005967</v>
      </c>
      <c r="C104">
        <f>LOG('CPI base year 2015-01'!C103)</f>
        <v>2.1241922699424549</v>
      </c>
      <c r="D104">
        <f>LOG('CPI base year 2015-01'!D103)</f>
        <v>2.0698600399723999</v>
      </c>
      <c r="E104">
        <f>LOG('CPI base year 2015-01'!E103)</f>
        <v>2.1122822490833948</v>
      </c>
    </row>
    <row r="105" spans="1:5" x14ac:dyDescent="0.3">
      <c r="A105" s="5" t="s">
        <v>102</v>
      </c>
      <c r="B105">
        <f>LOG('CPI base year 2015-01'!B104)</f>
        <v>2.0452004058837208</v>
      </c>
      <c r="C105">
        <f>LOG('CPI base year 2015-01'!C104)</f>
        <v>2.1245507466296698</v>
      </c>
      <c r="D105">
        <f>LOG('CPI base year 2015-01'!D104)</f>
        <v>2.0703676442796572</v>
      </c>
      <c r="E105">
        <f>LOG('CPI base year 2015-01'!E104)</f>
        <v>2.1131876747585263</v>
      </c>
    </row>
    <row r="106" spans="1:5" x14ac:dyDescent="0.3">
      <c r="A106" s="4" t="s">
        <v>103</v>
      </c>
      <c r="B106">
        <f>LOG('CPI base year 2015-01'!B105)</f>
        <v>2.0475704228122082</v>
      </c>
      <c r="C106">
        <f>LOG('CPI base year 2015-01'!C105)</f>
        <v>2.1291842154999538</v>
      </c>
      <c r="D106">
        <f>LOG('CPI base year 2015-01'!D105)</f>
        <v>2.0742139058294669</v>
      </c>
      <c r="E106">
        <f>LOG('CPI base year 2015-01'!E105)</f>
        <v>2.1131120509305523</v>
      </c>
    </row>
    <row r="107" spans="1:5" x14ac:dyDescent="0.3">
      <c r="A107" s="5" t="s">
        <v>104</v>
      </c>
      <c r="B107">
        <f>LOG('CPI base year 2015-01'!B106)</f>
        <v>2.0460052513362781</v>
      </c>
      <c r="C107">
        <f>LOG('CPI base year 2015-01'!C106)</f>
        <v>2.1341194331754658</v>
      </c>
      <c r="D107">
        <f>LOG('CPI base year 2015-01'!D106)</f>
        <v>2.0764130652808461</v>
      </c>
      <c r="E107">
        <f>LOG('CPI base year 2015-01'!E106)</f>
        <v>2.1139406873585633</v>
      </c>
    </row>
    <row r="108" spans="1:5" x14ac:dyDescent="0.3">
      <c r="A108" s="4" t="s">
        <v>105</v>
      </c>
      <c r="B108">
        <f>LOG('CPI base year 2015-01'!B107)</f>
        <v>2.0447974231305763</v>
      </c>
      <c r="C108">
        <f>LOG('CPI base year 2015-01'!C107)</f>
        <v>2.1334178264285231</v>
      </c>
      <c r="D108">
        <f>LOG('CPI base year 2015-01'!D107)</f>
        <v>2.0780264023776516</v>
      </c>
      <c r="E108">
        <f>LOG('CPI base year 2015-01'!E107)</f>
        <v>2.1146923965879929</v>
      </c>
    </row>
    <row r="109" spans="1:5" x14ac:dyDescent="0.3">
      <c r="A109" s="5" t="s">
        <v>106</v>
      </c>
      <c r="B109">
        <f>LOG('CPI base year 2015-01'!B108)</f>
        <v>2.0437074982185655</v>
      </c>
      <c r="C109">
        <f>LOG('CPI base year 2015-01'!C108)</f>
        <v>2.1341194331754658</v>
      </c>
      <c r="D109">
        <f>LOG('CPI base year 2015-01'!D108)</f>
        <v>2.0757583401808013</v>
      </c>
      <c r="E109">
        <f>LOG('CPI base year 2015-01'!E108)</f>
        <v>2.1163416741405565</v>
      </c>
    </row>
    <row r="110" spans="1:5" x14ac:dyDescent="0.3">
      <c r="A110" s="4" t="s">
        <v>107</v>
      </c>
      <c r="B110">
        <f>LOG('CPI base year 2015-01'!B109)</f>
        <v>2.0417224726450316</v>
      </c>
      <c r="C110">
        <f>LOG('CPI base year 2015-01'!C109)</f>
        <v>2.1348199082981321</v>
      </c>
      <c r="D110">
        <f>LOG('CPI base year 2015-01'!D109)</f>
        <v>2.0759510088685373</v>
      </c>
      <c r="E110">
        <f>LOG('CPI base year 2015-01'!E109)</f>
        <v>2.1181338464935426</v>
      </c>
    </row>
    <row r="111" spans="1:5" x14ac:dyDescent="0.3">
      <c r="A111" s="5" t="s">
        <v>108</v>
      </c>
      <c r="B111">
        <f>LOG('CPI base year 2015-01'!B110)</f>
        <v>2.0418036719501016</v>
      </c>
      <c r="C111">
        <f>LOG('CPI base year 2015-01'!C110)</f>
        <v>2.1372627121458079</v>
      </c>
      <c r="D111">
        <f>LOG('CPI base year 2015-01'!D110)</f>
        <v>2.0776428177546729</v>
      </c>
      <c r="E111">
        <f>LOG('CPI base year 2015-01'!E110)</f>
        <v>2.1183200893037846</v>
      </c>
    </row>
    <row r="112" spans="1:5" x14ac:dyDescent="0.3">
      <c r="A112" s="4" t="s">
        <v>109</v>
      </c>
      <c r="B112">
        <f>LOG('CPI base year 2015-01'!B111)</f>
        <v>2.0427768812803913</v>
      </c>
      <c r="C112">
        <f>LOG('CPI base year 2015-01'!C111)</f>
        <v>2.1396918526164592</v>
      </c>
      <c r="D112">
        <f>LOG('CPI base year 2015-01'!D111)</f>
        <v>2.079977431298818</v>
      </c>
      <c r="E112">
        <f>LOG('CPI base year 2015-01'!E111)</f>
        <v>2.119927291858664</v>
      </c>
    </row>
    <row r="113" spans="1:5" x14ac:dyDescent="0.3">
      <c r="A113" s="5" t="s">
        <v>110</v>
      </c>
      <c r="B113">
        <f>LOG('CPI base year 2015-01'!B112)</f>
        <v>2.0428983792478652</v>
      </c>
      <c r="C113">
        <f>LOG('CPI base year 2015-01'!C112)</f>
        <v>2.1400377662005798</v>
      </c>
      <c r="D113">
        <f>LOG('CPI base year 2015-01'!D112)</f>
        <v>2.0806258313834598</v>
      </c>
      <c r="E113">
        <f>LOG('CPI base year 2015-01'!E112)</f>
        <v>2.1221837984234249</v>
      </c>
    </row>
    <row r="114" spans="1:5" x14ac:dyDescent="0.3">
      <c r="A114" s="4" t="s">
        <v>111</v>
      </c>
      <c r="B114">
        <f>LOG('CPI base year 2015-01'!B113)</f>
        <v>2.0513198657647593</v>
      </c>
      <c r="C114">
        <f>LOG('CPI base year 2015-01'!C113)</f>
        <v>2.1396918526164592</v>
      </c>
      <c r="D114">
        <f>LOG('CPI base year 2015-01'!D113)</f>
        <v>2.0808544475399429</v>
      </c>
      <c r="E114">
        <f>LOG('CPI base year 2015-01'!E113)</f>
        <v>2.1232872621527537</v>
      </c>
    </row>
    <row r="115" spans="1:5" x14ac:dyDescent="0.3">
      <c r="A115" s="5" t="s">
        <v>112</v>
      </c>
      <c r="B115">
        <f>LOG('CPI base year 2015-01'!B114)</f>
        <v>2.0548796765309794</v>
      </c>
      <c r="C115">
        <f>LOG('CPI base year 2015-01'!C114)</f>
        <v>2.1400377662005798</v>
      </c>
      <c r="D115">
        <f>LOG('CPI base year 2015-01'!D114)</f>
        <v>2.0811971462852803</v>
      </c>
      <c r="E115">
        <f>LOG('CPI base year 2015-01'!E114)</f>
        <v>2.1231647934349511</v>
      </c>
    </row>
    <row r="116" spans="1:5" x14ac:dyDescent="0.3">
      <c r="A116" s="4" t="s">
        <v>113</v>
      </c>
      <c r="B116">
        <f>LOG('CPI base year 2015-01'!B115)</f>
        <v>2.0529847425973733</v>
      </c>
      <c r="C116">
        <f>LOG('CPI base year 2015-01'!C115)</f>
        <v>2.1400377662005798</v>
      </c>
      <c r="D116">
        <f>LOG('CPI base year 2015-01'!D115)</f>
        <v>2.0802063889432931</v>
      </c>
      <c r="E116">
        <f>LOG('CPI base year 2015-01'!E115)</f>
        <v>2.1227971799319643</v>
      </c>
    </row>
    <row r="117" spans="1:5" x14ac:dyDescent="0.3">
      <c r="A117" s="5" t="s">
        <v>114</v>
      </c>
      <c r="B117">
        <f>LOG('CPI base year 2015-01'!B116)</f>
        <v>2.0539332430713686</v>
      </c>
      <c r="C117">
        <f>LOG('CPI base year 2015-01'!C116)</f>
        <v>2.1431386523112392</v>
      </c>
      <c r="D117">
        <f>LOG('CPI base year 2015-01'!D116)</f>
        <v>2.0813113191331278</v>
      </c>
      <c r="E117">
        <f>LOG('CPI base year 2015-01'!E116)</f>
        <v>2.122020083604069</v>
      </c>
    </row>
    <row r="118" spans="1:5" x14ac:dyDescent="0.3">
      <c r="A118" s="4" t="s">
        <v>115</v>
      </c>
      <c r="B118">
        <f>LOG('CPI base year 2015-01'!B117)</f>
        <v>2.0545250056399706</v>
      </c>
      <c r="C118">
        <f>LOG('CPI base year 2015-01'!C117)</f>
        <v>2.1434818324807385</v>
      </c>
      <c r="D118">
        <f>LOG('CPI base year 2015-01'!D117)</f>
        <v>2.0828686806443759</v>
      </c>
      <c r="E118">
        <f>LOG('CPI base year 2015-01'!E117)</f>
        <v>2.1218972569762684</v>
      </c>
    </row>
    <row r="119" spans="1:5" x14ac:dyDescent="0.3">
      <c r="A119" s="5" t="s">
        <v>116</v>
      </c>
      <c r="B119">
        <f>LOG('CPI base year 2015-01'!B118)</f>
        <v>2.0486507081369565</v>
      </c>
      <c r="C119">
        <f>LOG('CPI base year 2015-01'!C118)</f>
        <v>2.1424514773547334</v>
      </c>
      <c r="D119">
        <f>LOG('CPI base year 2015-01'!D118)</f>
        <v>2.0832855609330232</v>
      </c>
      <c r="E119">
        <f>LOG('CPI base year 2015-01'!E118)</f>
        <v>2.1213646064764839</v>
      </c>
    </row>
    <row r="120" spans="1:5" x14ac:dyDescent="0.3">
      <c r="A120" s="4" t="s">
        <v>117</v>
      </c>
      <c r="B120">
        <f>LOG('CPI base year 2015-01'!B119)</f>
        <v>2.0457762893327827</v>
      </c>
      <c r="C120">
        <f>LOG('CPI base year 2015-01'!C119)</f>
        <v>2.1431386523112392</v>
      </c>
      <c r="D120">
        <f>LOG('CPI base year 2015-01'!D119)</f>
        <v>2.0834370546057563</v>
      </c>
      <c r="E120">
        <f>LOG('CPI base year 2015-01'!E119)</f>
        <v>2.1216924687035514</v>
      </c>
    </row>
    <row r="121" spans="1:5" x14ac:dyDescent="0.3">
      <c r="A121" s="5" t="s">
        <v>118</v>
      </c>
      <c r="B121">
        <f>LOG('CPI base year 2015-01'!B120)</f>
        <v>2.0452157145377057</v>
      </c>
      <c r="C121">
        <f>LOG('CPI base year 2015-01'!C120)</f>
        <v>2.1448518477553593</v>
      </c>
      <c r="D121">
        <f>LOG('CPI base year 2015-01'!D120)</f>
        <v>2.0823375263240709</v>
      </c>
      <c r="E121">
        <f>LOG('CPI base year 2015-01'!E120)</f>
        <v>2.1230014480707675</v>
      </c>
    </row>
    <row r="122" spans="1:5" x14ac:dyDescent="0.3">
      <c r="A122" s="4" t="s">
        <v>119</v>
      </c>
      <c r="B122">
        <f>LOG('CPI base year 2015-01'!B121)</f>
        <v>2.0444383375725619</v>
      </c>
      <c r="C122">
        <f>LOG('CPI base year 2015-01'!C121)</f>
        <v>2.1472390240628179</v>
      </c>
      <c r="D122">
        <f>LOG('CPI base year 2015-01'!D121)</f>
        <v>2.0842693265156811</v>
      </c>
      <c r="E122">
        <f>LOG('CPI base year 2015-01'!E121)</f>
        <v>2.124916886886262</v>
      </c>
    </row>
    <row r="123" spans="1:5" x14ac:dyDescent="0.3">
      <c r="A123" s="5" t="s">
        <v>120</v>
      </c>
      <c r="B123">
        <f>LOG('CPI base year 2015-01'!B122)</f>
        <v>2.044870385441365</v>
      </c>
      <c r="C123">
        <f>LOG('CPI base year 2015-01'!C122)</f>
        <v>2.1496131505322369</v>
      </c>
      <c r="D123">
        <f>LOG('CPI base year 2015-01'!D122)</f>
        <v>2.0872823954527697</v>
      </c>
      <c r="E123">
        <f>LOG('CPI base year 2015-01'!E122)</f>
        <v>2.1216105263482326</v>
      </c>
    </row>
    <row r="124" spans="1:5" x14ac:dyDescent="0.3">
      <c r="A124" s="4" t="s">
        <v>121</v>
      </c>
      <c r="B124">
        <f>LOG('CPI base year 2015-01'!B123)</f>
        <v>2.0447840102457935</v>
      </c>
      <c r="C124">
        <f>LOG('CPI base year 2015-01'!C123)</f>
        <v>2.1485972565440887</v>
      </c>
      <c r="D124">
        <f>LOG('CPI base year 2015-01'!D123)</f>
        <v>2.088668901296745</v>
      </c>
      <c r="E124">
        <f>LOG('CPI base year 2015-01'!E123)</f>
        <v>2.1195157553151209</v>
      </c>
    </row>
    <row r="125" spans="1:5" x14ac:dyDescent="0.3">
      <c r="A125" s="5" t="s">
        <v>122</v>
      </c>
      <c r="B125">
        <f>LOG('CPI base year 2015-01'!B124)</f>
        <v>2.0439193121365369</v>
      </c>
      <c r="C125">
        <f>LOG('CPI base year 2015-01'!C124)</f>
        <v>2.147578980621784</v>
      </c>
      <c r="D125">
        <f>LOG('CPI base year 2015-01'!D124)</f>
        <v>2.0894538723862039</v>
      </c>
      <c r="E125">
        <f>LOG('CPI base year 2015-01'!E124)</f>
        <v>2.1266214370830125</v>
      </c>
    </row>
    <row r="126" spans="1:5" x14ac:dyDescent="0.3">
      <c r="A126" s="4" t="s">
        <v>123</v>
      </c>
      <c r="C126">
        <f>LOG('CPI base year 2015-01'!C125)</f>
        <v>2.1458765304530578</v>
      </c>
      <c r="D126">
        <f>LOG('CPI base year 2015-01'!D125)</f>
        <v>2.0897898547244571</v>
      </c>
      <c r="E126">
        <f>LOG('CPI base year 2015-01'!E125)</f>
        <v>2.1316552743505257</v>
      </c>
    </row>
    <row r="127" spans="1:5" x14ac:dyDescent="0.3">
      <c r="A127" s="5" t="s">
        <v>124</v>
      </c>
      <c r="C127">
        <f>LOG('CPI base year 2015-01'!C126)</f>
        <v>2.1455352381117976</v>
      </c>
      <c r="D127">
        <f>LOG('CPI base year 2015-01'!D126)</f>
        <v>2.0893791743327168</v>
      </c>
      <c r="E127">
        <f>LOG('CPI base year 2015-01'!E126)</f>
        <v>2.1300507856615769</v>
      </c>
    </row>
    <row r="128" spans="1:5" x14ac:dyDescent="0.3">
      <c r="A128" s="4" t="s">
        <v>125</v>
      </c>
      <c r="C128">
        <f>LOG('CPI base year 2015-01'!C127)</f>
        <v>2.1458765304530578</v>
      </c>
      <c r="D128">
        <f>LOG('CPI base year 2015-01'!D127)</f>
        <v>2.0895285575939382</v>
      </c>
      <c r="E128">
        <f>LOG('CPI base year 2015-01'!E127)</f>
        <v>2.1308537709728941</v>
      </c>
    </row>
    <row r="129" spans="1:5" x14ac:dyDescent="0.3">
      <c r="A129" s="5" t="s">
        <v>126</v>
      </c>
      <c r="C129">
        <f>LOG('CPI base year 2015-01'!C128)</f>
        <v>2.1472390240628179</v>
      </c>
      <c r="D129">
        <f>LOG('CPI base year 2015-01'!D128)</f>
        <v>2.0903119778226951</v>
      </c>
      <c r="E129">
        <f>LOG('CPI base year 2015-01'!E128)</f>
        <v>2.1321754594465525</v>
      </c>
    </row>
    <row r="130" spans="1:5" x14ac:dyDescent="0.3">
      <c r="A130" s="4" t="s">
        <v>127</v>
      </c>
      <c r="C130">
        <f>LOG('CPI base year 2015-01'!C129)</f>
        <v>2.1499512544667159</v>
      </c>
      <c r="D130">
        <f>LOG('CPI base year 2015-01'!D129)</f>
        <v>2.0900509947377648</v>
      </c>
      <c r="E130">
        <f>LOG('CPI base year 2015-01'!E129)</f>
        <v>2.1318153976750067</v>
      </c>
    </row>
    <row r="131" spans="1:5" x14ac:dyDescent="0.3">
      <c r="A131" s="5" t="s">
        <v>128</v>
      </c>
      <c r="C131">
        <f>LOG('CPI base year 2015-01'!C130)</f>
        <v>2.1499512544667159</v>
      </c>
      <c r="D131">
        <f>LOG('CPI base year 2015-01'!D130)</f>
        <v>2.0923200216452273</v>
      </c>
      <c r="E131">
        <f>LOG('CPI base year 2015-01'!E130)</f>
        <v>2.1327349628594163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CPI</vt:lpstr>
      <vt:lpstr>CPI base year 2015-01</vt:lpstr>
      <vt:lpstr>Log(CPI)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moment</dc:creator>
  <cp:lastModifiedBy>Jonasz Kosiński</cp:lastModifiedBy>
  <dcterms:created xsi:type="dcterms:W3CDTF">2015-06-05T18:19:34Z</dcterms:created>
  <dcterms:modified xsi:type="dcterms:W3CDTF">2026-02-10T16:59:01Z</dcterms:modified>
</cp:coreProperties>
</file>
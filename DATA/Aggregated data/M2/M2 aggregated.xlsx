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Aggregated data\M2\"/>
    </mc:Choice>
  </mc:AlternateContent>
  <xr:revisionPtr revIDLastSave="0" documentId="13_ncr:1_{86FB0F86-5B35-4844-B5B4-4AE063BAD1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2" sheetId="1" r:id="rId1"/>
    <sheet name="M2 base month 2015-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2" l="1"/>
  <c r="X8" i="2"/>
  <c r="Y8" i="2"/>
  <c r="W7" i="2"/>
  <c r="X7" i="2"/>
  <c r="Y7" i="2"/>
  <c r="W6" i="2"/>
  <c r="X6" i="2"/>
  <c r="Y6" i="2"/>
  <c r="W5" i="2"/>
  <c r="X5" i="2"/>
  <c r="Y5" i="2"/>
  <c r="W4" i="2"/>
  <c r="X4" i="2"/>
  <c r="Y4" i="2"/>
  <c r="V8" i="2"/>
  <c r="V7" i="2"/>
  <c r="V6" i="2"/>
  <c r="V5" i="2"/>
  <c r="V4" i="2"/>
  <c r="K5" i="1"/>
  <c r="K7" i="1"/>
  <c r="L7" i="1"/>
  <c r="M7" i="1"/>
  <c r="K6" i="1"/>
  <c r="L6" i="1"/>
  <c r="M6" i="1"/>
  <c r="K4" i="1"/>
  <c r="L4" i="1"/>
  <c r="M4" i="1"/>
  <c r="J4" i="1"/>
  <c r="L5" i="1"/>
  <c r="M5" i="1"/>
  <c r="K3" i="1"/>
  <c r="L3" i="1"/>
  <c r="M3" i="1"/>
  <c r="J7" i="1"/>
  <c r="J6" i="1"/>
  <c r="J5" i="1"/>
  <c r="J3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2" i="2"/>
  <c r="E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2" i="2"/>
</calcChain>
</file>

<file path=xl/sharedStrings.xml><?xml version="1.0" encoding="utf-8"?>
<sst xmlns="http://schemas.openxmlformats.org/spreadsheetml/2006/main" count="286" uniqueCount="139">
  <si>
    <t>Indonesia</t>
  </si>
  <si>
    <t>Dates</t>
  </si>
  <si>
    <t>Philippines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</si>
  <si>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</si>
  <si>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</si>
  <si>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</si>
  <si>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</si>
  <si>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</si>
  <si>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</si>
  <si>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</si>
  <si>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</si>
  <si>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</si>
  <si>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</si>
  <si>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</si>
  <si>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</si>
  <si>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</si>
  <si>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</si>
  <si>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</si>
  <si>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</si>
  <si>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</si>
  <si>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</si>
  <si>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</si>
  <si>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</si>
  <si>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</si>
  <si>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</si>
  <si>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</si>
  <si>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</si>
  <si>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</si>
  <si>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</si>
  <si>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</si>
  <si>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</si>
  <si>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</si>
  <si>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</si>
  <si>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</si>
  <si>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</si>
  <si>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</si>
  <si>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</si>
  <si>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</si>
  <si>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</si>
  <si>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</si>
  <si>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</si>
  <si>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</si>
  <si>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</si>
  <si>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</si>
  <si>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</si>
  <si>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</si>
  <si>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</si>
  <si>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</si>
  <si>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</si>
  <si>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</si>
  <si>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</si>
  <si>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</si>
  <si>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</si>
  <si>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</si>
  <si>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</si>
  <si>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</si>
  <si>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</si>
  <si>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</si>
  <si>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</si>
  <si>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</si>
  <si>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</si>
  <si>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</si>
  <si>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</si>
  <si>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</si>
  <si>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</si>
  <si>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</si>
  <si>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</si>
  <si>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</si>
  <si>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</si>
  <si>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</si>
  <si>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</si>
  <si>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</si>
  <si>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</si>
  <si>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</si>
  <si>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</si>
  <si>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</si>
  <si>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</si>
  <si>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</si>
  <si>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</si>
  <si>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</si>
  <si>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</si>
  <si>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</si>
  <si>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</si>
  <si>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</si>
  <si>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</si>
  <si>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</si>
  <si>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</si>
  <si>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</si>
  <si>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</si>
  <si>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</si>
  <si>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</si>
  <si>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</si>
  <si>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</si>
  <si>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</si>
  <si>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</si>
  <si>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</si>
  <si>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</si>
  <si>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</si>
  <si>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</si>
  <si>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</si>
  <si>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</si>
  <si>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</si>
  <si>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</si>
  <si>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</si>
  <si>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</si>
  <si>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</si>
  <si>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</si>
  <si>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</si>
  <si>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</si>
  <si>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</si>
  <si>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</si>
  <si>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</si>
  <si>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</si>
  <si>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</si>
  <si>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</si>
  <si>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</si>
  <si>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</si>
  <si>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</si>
  <si>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Thailand</t>
  </si>
  <si>
    <t>Korea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</si>
  <si>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</si>
  <si>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</si>
  <si>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</si>
  <si>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</si>
  <si>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</si>
  <si>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</si>
  <si>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</si>
  <si>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</si>
  <si>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</si>
  <si>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</si>
  <si>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</si>
  <si>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</si>
  <si>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</si>
  <si>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</si>
  <si>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Min</t>
  </si>
  <si>
    <t>Max</t>
  </si>
  <si>
    <t>Mean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</si>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</sst>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2" borderId="1" xfId="0" applyNumberFormat="1" applyFill="1" applyBorder="1"/>
    <xf numFmtId="49" fontId="0" fillId="0" borderId="1" xfId="0" applyNumberFormat="1" applyBorder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M2</a:t>
            </a:r>
            <a:r>
              <a:rPr lang="nl-BE" baseline="0"/>
              <a:t> for all countries with 2015-01 as base month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'M2 base month 2015-01'!$C$1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'M2 base month 2015-01'!$B$2:$B$130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'M2 base month 2015-01'!$C$2:$C$130</c:f>
              <c:numCache>
                <c:formatCode>General</c:formatCode>
                <c:ptCount val="129"/>
                <c:pt idx="0">
                  <c:v>1</c:v>
                </c:pt>
                <c:pt idx="1">
                  <c:v>1.0103709354433896</c:v>
                </c:pt>
                <c:pt idx="2">
                  <c:v>1.0171349132974985</c:v>
                </c:pt>
                <c:pt idx="3">
                  <c:v>1.0241651274028813</c:v>
                </c:pt>
                <c:pt idx="4">
                  <c:v>1.027197146048181</c:v>
                </c:pt>
                <c:pt idx="5">
                  <c:v>1.0440678495262092</c:v>
                </c:pt>
                <c:pt idx="6">
                  <c:v>1.0475186736588975</c:v>
                </c:pt>
                <c:pt idx="7">
                  <c:v>1.0549146539142755</c:v>
                </c:pt>
                <c:pt idx="8">
                  <c:v>1.0799499828724595</c:v>
                </c:pt>
                <c:pt idx="9">
                  <c:v>1.0642546960718657</c:v>
                </c:pt>
                <c:pt idx="10">
                  <c:v>1.0664695357320901</c:v>
                </c:pt>
                <c:pt idx="11">
                  <c:v>1.0895784322656941</c:v>
                </c:pt>
                <c:pt idx="12">
                  <c:v>1.0774967332709691</c:v>
                </c:pt>
                <c:pt idx="13">
                  <c:v>1.0831472491268503</c:v>
                </c:pt>
                <c:pt idx="14">
                  <c:v>1.0927096406757713</c:v>
                </c:pt>
                <c:pt idx="15">
                  <c:v>1.0975015410882127</c:v>
                </c:pt>
                <c:pt idx="16">
                  <c:v>1.1052105930807543</c:v>
                </c:pt>
                <c:pt idx="17">
                  <c:v>1.1347661751960334</c:v>
                </c:pt>
                <c:pt idx="18">
                  <c:v>1.1330723201341826</c:v>
                </c:pt>
                <c:pt idx="19">
                  <c:v>1.1368202608477151</c:v>
                </c:pt>
                <c:pt idx="20">
                  <c:v>1.1348091781867857</c:v>
                </c:pt>
                <c:pt idx="21">
                  <c:v>1.1445935694118561</c:v>
                </c:pt>
                <c:pt idx="22">
                  <c:v>1.1661926185563987</c:v>
                </c:pt>
                <c:pt idx="23">
                  <c:v>1.1988468256871578</c:v>
                </c:pt>
                <c:pt idx="24">
                  <c:v>1.1825360138190768</c:v>
                </c:pt>
                <c:pt idx="25">
                  <c:v>1.1839822465794747</c:v>
                </c:pt>
                <c:pt idx="26">
                  <c:v>1.2018809066939034</c:v>
                </c:pt>
                <c:pt idx="27">
                  <c:v>1.205746155292976</c:v>
                </c:pt>
                <c:pt idx="28">
                  <c:v>1.2276880283134968</c:v>
                </c:pt>
                <c:pt idx="29">
                  <c:v>1.2515888979907188</c:v>
                </c:pt>
                <c:pt idx="30">
                  <c:v>1.2403101019366818</c:v>
                </c:pt>
                <c:pt idx="31">
                  <c:v>1.2502671350911492</c:v>
                </c:pt>
                <c:pt idx="32">
                  <c:v>1.2585287682091635</c:v>
                </c:pt>
                <c:pt idx="33">
                  <c:v>1.2657582073883411</c:v>
                </c:pt>
                <c:pt idx="34">
                  <c:v>1.2746475864427123</c:v>
                </c:pt>
                <c:pt idx="35">
                  <c:v>1.2980577314659811</c:v>
                </c:pt>
                <c:pt idx="36">
                  <c:v>1.2818940922017992</c:v>
                </c:pt>
                <c:pt idx="37">
                  <c:v>1.2818858667091102</c:v>
                </c:pt>
                <c:pt idx="38">
                  <c:v>1.292467316319784</c:v>
                </c:pt>
                <c:pt idx="39">
                  <c:v>1.2956441601657109</c:v>
                </c:pt>
                <c:pt idx="40">
                  <c:v>1.3018705563221917</c:v>
                </c:pt>
                <c:pt idx="41">
                  <c:v>1.3256001446057903</c:v>
                </c:pt>
                <c:pt idx="42">
                  <c:v>1.3192865687661692</c:v>
                </c:pt>
                <c:pt idx="43">
                  <c:v>1.3244748234304218</c:v>
                </c:pt>
                <c:pt idx="44">
                  <c:v>1.3429972915924535</c:v>
                </c:pt>
                <c:pt idx="45">
                  <c:v>1.3575445353121323</c:v>
                </c:pt>
                <c:pt idx="46">
                  <c:v>1.3583740645127882</c:v>
                </c:pt>
                <c:pt idx="47">
                  <c:v>1.3797093158310882</c:v>
                </c:pt>
                <c:pt idx="48">
                  <c:v>1.3521485977363785</c:v>
                </c:pt>
                <c:pt idx="49">
                  <c:v>1.3583268194289806</c:v>
                </c:pt>
                <c:pt idx="50">
                  <c:v>1.376643511345842</c:v>
                </c:pt>
                <c:pt idx="51">
                  <c:v>1.3765201529086035</c:v>
                </c:pt>
                <c:pt idx="52">
                  <c:v>1.4037732653623394</c:v>
                </c:pt>
                <c:pt idx="53">
                  <c:v>1.415270750774851</c:v>
                </c:pt>
                <c:pt idx="54">
                  <c:v>1.4230852083602212</c:v>
                </c:pt>
                <c:pt idx="55">
                  <c:v>1.4215112505134375</c:v>
                </c:pt>
                <c:pt idx="56">
                  <c:v>1.4693254598489354</c:v>
                </c:pt>
                <c:pt idx="57">
                  <c:v>1.4436309752614331</c:v>
                </c:pt>
                <c:pt idx="58">
                  <c:v>1.4550012697415686</c:v>
                </c:pt>
                <c:pt idx="59">
                  <c:v>1.4698941063149624</c:v>
                </c:pt>
                <c:pt idx="60">
                  <c:v>1.4483600347301668</c:v>
                </c:pt>
                <c:pt idx="61">
                  <c:v>1.4650898341291554</c:v>
                </c:pt>
                <c:pt idx="62">
                  <c:v>1.5426888519047253</c:v>
                </c:pt>
                <c:pt idx="63">
                  <c:v>1.4942579964969127</c:v>
                </c:pt>
                <c:pt idx="64">
                  <c:v>1.5493325085739922</c:v>
                </c:pt>
                <c:pt idx="65">
                  <c:v>1.5314995014965787</c:v>
                </c:pt>
                <c:pt idx="66">
                  <c:v>1.573173387725765</c:v>
                </c:pt>
                <c:pt idx="67">
                  <c:v>1.6111175399886315</c:v>
                </c:pt>
                <c:pt idx="68">
                  <c:v>1.6164923221912264</c:v>
                </c:pt>
                <c:pt idx="69">
                  <c:v>1.6242221079824619</c:v>
                </c:pt>
                <c:pt idx="70">
                  <c:v>1.6329918485151875</c:v>
                </c:pt>
                <c:pt idx="71">
                  <c:v>1.6527753824350486</c:v>
                </c:pt>
                <c:pt idx="72">
                  <c:v>1.6210035570082011</c:v>
                </c:pt>
                <c:pt idx="73">
                  <c:v>1.6330711883504623</c:v>
                </c:pt>
                <c:pt idx="74">
                  <c:v>1.6517009975153671</c:v>
                </c:pt>
                <c:pt idx="75">
                  <c:v>1.6681860849138976</c:v>
                </c:pt>
                <c:pt idx="76">
                  <c:v>1.6776970419827637</c:v>
                </c:pt>
                <c:pt idx="77">
                  <c:v>1.7078703576408532</c:v>
                </c:pt>
                <c:pt idx="78">
                  <c:v>1.7151757904079885</c:v>
                </c:pt>
                <c:pt idx="79">
                  <c:v>1.7273775902190853</c:v>
                </c:pt>
                <c:pt idx="80">
                  <c:v>1.7487964282563342</c:v>
                </c:pt>
                <c:pt idx="81">
                  <c:v>1.7944950379978839</c:v>
                </c:pt>
                <c:pt idx="82">
                  <c:v>1.8140444807194367</c:v>
                </c:pt>
                <c:pt idx="83">
                  <c:v>1.8852170173486349</c:v>
                </c:pt>
                <c:pt idx="84">
                  <c:v>1.8316426492619904</c:v>
                </c:pt>
                <c:pt idx="85">
                  <c:v>1.8420251923750277</c:v>
                </c:pt>
                <c:pt idx="86">
                  <c:v>1.8709640805118026</c:v>
                </c:pt>
                <c:pt idx="87">
                  <c:v>1.8950453648976227</c:v>
                </c:pt>
                <c:pt idx="88">
                  <c:v>1.8813207734451376</c:v>
                </c:pt>
                <c:pt idx="89">
                  <c:v>1.8900780966936175</c:v>
                </c:pt>
                <c:pt idx="90">
                  <c:v>1.8792524716318051</c:v>
                </c:pt>
                <c:pt idx="91">
                  <c:v>1.8917263570398795</c:v>
                </c:pt>
                <c:pt idx="92">
                  <c:v>1.9073114739771269</c:v>
                </c:pt>
                <c:pt idx="93">
                  <c:v>1.9696761487235284</c:v>
                </c:pt>
                <c:pt idx="94">
                  <c:v>1.987471978202799</c:v>
                </c:pt>
                <c:pt idx="95">
                  <c:v>2.0427252522249488</c:v>
                </c:pt>
                <c:pt idx="96">
                  <c:v>1.9813612060293073</c:v>
                </c:pt>
                <c:pt idx="97">
                  <c:v>1.9882621572596304</c:v>
                </c:pt>
                <c:pt idx="98">
                  <c:v>1.9864979783073158</c:v>
                </c:pt>
                <c:pt idx="99">
                  <c:v>2.0006462209582292</c:v>
                </c:pt>
                <c:pt idx="100">
                  <c:v>1.9967708761297784</c:v>
                </c:pt>
                <c:pt idx="101">
                  <c:v>2.0055902929854144</c:v>
                </c:pt>
                <c:pt idx="102">
                  <c:v>1.999961794814098</c:v>
                </c:pt>
                <c:pt idx="103">
                  <c:v>2.0036138464992903</c:v>
                </c:pt>
                <c:pt idx="104">
                  <c:v>2.0219373506762581</c:v>
                </c:pt>
                <c:pt idx="105">
                  <c:v>2.0375805466820056</c:v>
                </c:pt>
                <c:pt idx="106">
                  <c:v>2.0539580056405273</c:v>
                </c:pt>
                <c:pt idx="107">
                  <c:v>2.1142273211579257</c:v>
                </c:pt>
                <c:pt idx="108">
                  <c:v>2.0891768610298769</c:v>
                </c:pt>
                <c:pt idx="109">
                  <c:v>2.0933984981424048</c:v>
                </c:pt>
                <c:pt idx="110">
                  <c:v>2.1297713513519896</c:v>
                </c:pt>
                <c:pt idx="111">
                  <c:v>2.1381647408622126</c:v>
                </c:pt>
                <c:pt idx="112">
                  <c:v>2.1483102058260433</c:v>
                </c:pt>
                <c:pt idx="113">
                  <c:v>2.1594565244997246</c:v>
                </c:pt>
                <c:pt idx="114">
                  <c:v>2.1517983129504912</c:v>
                </c:pt>
                <c:pt idx="115">
                  <c:v>2.149912847503622</c:v>
                </c:pt>
                <c:pt idx="116">
                  <c:v>2.1672756888681857</c:v>
                </c:pt>
                <c:pt idx="117">
                  <c:v>2.1756009246383163</c:v>
                </c:pt>
                <c:pt idx="118">
                  <c:v>2.197876236712347</c:v>
                </c:pt>
                <c:pt idx="119">
                  <c:v>2.2062754037089896</c:v>
                </c:pt>
                <c:pt idx="120">
                  <c:v>2.2032900385060605</c:v>
                </c:pt>
                <c:pt idx="121">
                  <c:v>2.2231057031070307</c:v>
                </c:pt>
                <c:pt idx="122">
                  <c:v>2.260381786794075</c:v>
                </c:pt>
                <c:pt idx="123">
                  <c:v>2.2486914166919116</c:v>
                </c:pt>
                <c:pt idx="124">
                  <c:v>2.2526208500033</c:v>
                </c:pt>
                <c:pt idx="125">
                  <c:v>2.2983601728197574</c:v>
                </c:pt>
                <c:pt idx="126">
                  <c:v>2.2922417811668701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7-4E09-A4E0-9EEACACB2A2B}"/>
            </c:ext>
          </c:extLst>
        </c:ser>
        <c:ser>
          <c:idx val="1"/>
          <c:order val="1"/>
          <c:tx>
            <c:strRef>
              <c:f>'M2 base month 2015-01'!$D$1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'M2 base month 2015-01'!$B$2:$B$130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'M2 base month 2015-01'!$D$2:$D$130</c:f>
              <c:numCache>
                <c:formatCode>General</c:formatCode>
                <c:ptCount val="129"/>
                <c:pt idx="0">
                  <c:v>1</c:v>
                </c:pt>
                <c:pt idx="1">
                  <c:v>1.0062405213041792</c:v>
                </c:pt>
                <c:pt idx="2">
                  <c:v>1.019601851577296</c:v>
                </c:pt>
                <c:pt idx="3">
                  <c:v>1.0160502787941692</c:v>
                </c:pt>
                <c:pt idx="4">
                  <c:v>1.0169088954759584</c:v>
                </c:pt>
                <c:pt idx="5">
                  <c:v>1.0331438510485831</c:v>
                </c:pt>
                <c:pt idx="6">
                  <c:v>1.0361033042316599</c:v>
                </c:pt>
                <c:pt idx="7">
                  <c:v>1.0457648353727484</c:v>
                </c:pt>
                <c:pt idx="8">
                  <c:v>1.056695454579202</c:v>
                </c:pt>
                <c:pt idx="9">
                  <c:v>1.0644508761792617</c:v>
                </c:pt>
                <c:pt idx="10">
                  <c:v>1.0778121392623858</c:v>
                </c:pt>
                <c:pt idx="11">
                  <c:v>1.1194618351534351</c:v>
                </c:pt>
                <c:pt idx="12">
                  <c:v>1.1172450000884486</c:v>
                </c:pt>
                <c:pt idx="13">
                  <c:v>1.1228119347106429</c:v>
                </c:pt>
                <c:pt idx="14">
                  <c:v>1.136340264374585</c:v>
                </c:pt>
                <c:pt idx="15">
                  <c:v>1.1414892021260061</c:v>
                </c:pt>
                <c:pt idx="16">
                  <c:v>1.1522184256668635</c:v>
                </c:pt>
                <c:pt idx="17">
                  <c:v>1.1600818819628824</c:v>
                </c:pt>
                <c:pt idx="18">
                  <c:v>1.164536310823806</c:v>
                </c:pt>
                <c:pt idx="19">
                  <c:v>1.1610909254425614</c:v>
                </c:pt>
                <c:pt idx="20">
                  <c:v>1.1828625814323472</c:v>
                </c:pt>
                <c:pt idx="21">
                  <c:v>1.1919396762051675</c:v>
                </c:pt>
                <c:pt idx="22">
                  <c:v>1.218442392812948</c:v>
                </c:pt>
                <c:pt idx="23">
                  <c:v>1.2686443758151791</c:v>
                </c:pt>
                <c:pt idx="24">
                  <c:v>1.2534337272045302</c:v>
                </c:pt>
                <c:pt idx="25">
                  <c:v>1.2643832661891097</c:v>
                </c:pt>
                <c:pt idx="26">
                  <c:v>1.2768464682548211</c:v>
                </c:pt>
                <c:pt idx="27">
                  <c:v>1.2736170877630006</c:v>
                </c:pt>
                <c:pt idx="28">
                  <c:v>1.2894422084077228</c:v>
                </c:pt>
                <c:pt idx="29">
                  <c:v>1.3182988071413475</c:v>
                </c:pt>
                <c:pt idx="30">
                  <c:v>1.3361378031855953</c:v>
                </c:pt>
                <c:pt idx="31">
                  <c:v>1.3539854566447376</c:v>
                </c:pt>
                <c:pt idx="32">
                  <c:v>1.3644168433512602</c:v>
                </c:pt>
                <c:pt idx="33">
                  <c:v>1.3776809570965549</c:v>
                </c:pt>
                <c:pt idx="34">
                  <c:v>1.3889270132069247</c:v>
                </c:pt>
                <c:pt idx="35">
                  <c:v>1.4135632080086233</c:v>
                </c:pt>
                <c:pt idx="36">
                  <c:v>1.417118885637711</c:v>
                </c:pt>
                <c:pt idx="37">
                  <c:v>1.4328892556005943</c:v>
                </c:pt>
                <c:pt idx="38">
                  <c:v>1.4485242357890513</c:v>
                </c:pt>
                <c:pt idx="39">
                  <c:v>1.4468037916787044</c:v>
                </c:pt>
                <c:pt idx="40">
                  <c:v>1.46444735049936</c:v>
                </c:pt>
                <c:pt idx="41">
                  <c:v>1.4673300951015906</c:v>
                </c:pt>
                <c:pt idx="42">
                  <c:v>1.4756475548132471</c:v>
                </c:pt>
                <c:pt idx="43">
                  <c:v>1.4802061251391976</c:v>
                </c:pt>
                <c:pt idx="44">
                  <c:v>1.4853070192320605</c:v>
                </c:pt>
                <c:pt idx="45">
                  <c:v>1.4881950680136879</c:v>
                </c:pt>
                <c:pt idx="46">
                  <c:v>1.5000288612901918</c:v>
                </c:pt>
                <c:pt idx="47">
                  <c:v>1.5407718212919748</c:v>
                </c:pt>
                <c:pt idx="48">
                  <c:v>1.5161777071752314</c:v>
                </c:pt>
                <c:pt idx="49">
                  <c:v>1.5264398139361002</c:v>
                </c:pt>
                <c:pt idx="50">
                  <c:v>1.5358636949499402</c:v>
                </c:pt>
                <c:pt idx="51">
                  <c:v>1.5474646155363239</c:v>
                </c:pt>
                <c:pt idx="52">
                  <c:v>1.5535692661858396</c:v>
                </c:pt>
                <c:pt idx="53">
                  <c:v>1.5607554827850154</c:v>
                </c:pt>
                <c:pt idx="54">
                  <c:v>1.5729933241919807</c:v>
                </c:pt>
                <c:pt idx="55">
                  <c:v>1.574250707244486</c:v>
                </c:pt>
                <c:pt idx="56">
                  <c:v>1.5877690427886779</c:v>
                </c:pt>
                <c:pt idx="57">
                  <c:v>1.5966756781856968</c:v>
                </c:pt>
                <c:pt idx="58">
                  <c:v>1.6245608502653033</c:v>
                </c:pt>
                <c:pt idx="59">
                  <c:v>1.6924441920172397</c:v>
                </c:pt>
                <c:pt idx="60">
                  <c:v>1.6787037009779071</c:v>
                </c:pt>
                <c:pt idx="61">
                  <c:v>1.6746550655711423</c:v>
                </c:pt>
                <c:pt idx="62">
                  <c:v>1.7207872435074629</c:v>
                </c:pt>
                <c:pt idx="63">
                  <c:v>1.7719529450685643</c:v>
                </c:pt>
                <c:pt idx="64">
                  <c:v>1.7853160510205794</c:v>
                </c:pt>
                <c:pt idx="65">
                  <c:v>1.7637345320245978</c:v>
                </c:pt>
                <c:pt idx="66">
                  <c:v>1.7780056596546352</c:v>
                </c:pt>
                <c:pt idx="67">
                  <c:v>1.7658221028069621</c:v>
                </c:pt>
                <c:pt idx="68">
                  <c:v>1.763440523702493</c:v>
                </c:pt>
                <c:pt idx="69">
                  <c:v>1.7650105203727147</c:v>
                </c:pt>
                <c:pt idx="70">
                  <c:v>1.7796686908968928</c:v>
                </c:pt>
                <c:pt idx="71">
                  <c:v>1.8389714754077739</c:v>
                </c:pt>
                <c:pt idx="72">
                  <c:v>1.8082153101164875</c:v>
                </c:pt>
                <c:pt idx="73">
                  <c:v>1.810593751939058</c:v>
                </c:pt>
                <c:pt idx="74">
                  <c:v>1.8313656131080023</c:v>
                </c:pt>
                <c:pt idx="75">
                  <c:v>1.8400533192179096</c:v>
                </c:pt>
                <c:pt idx="76">
                  <c:v>1.8471710130564429</c:v>
                </c:pt>
                <c:pt idx="77">
                  <c:v>1.8640915611513753</c:v>
                </c:pt>
                <c:pt idx="78">
                  <c:v>1.8695571881119604</c:v>
                </c:pt>
                <c:pt idx="79">
                  <c:v>1.8782097856686393</c:v>
                </c:pt>
                <c:pt idx="80">
                  <c:v>1.9015228274686231</c:v>
                </c:pt>
                <c:pt idx="81">
                  <c:v>1.9042913820785268</c:v>
                </c:pt>
                <c:pt idx="82">
                  <c:v>1.9249770317329105</c:v>
                </c:pt>
                <c:pt idx="83">
                  <c:v>1.9857263355690031</c:v>
                </c:pt>
                <c:pt idx="84">
                  <c:v>1.9620477399090306</c:v>
                </c:pt>
                <c:pt idx="85">
                  <c:v>1.9685135749697025</c:v>
                </c:pt>
                <c:pt idx="86">
                  <c:v>1.9833879761793134</c:v>
                </c:pt>
                <c:pt idx="87">
                  <c:v>1.9862342910484445</c:v>
                </c:pt>
                <c:pt idx="88">
                  <c:v>1.9888548330491087</c:v>
                </c:pt>
                <c:pt idx="89">
                  <c:v>2.0186932433153113</c:v>
                </c:pt>
                <c:pt idx="90">
                  <c:v>2.016803515918546</c:v>
                </c:pt>
                <c:pt idx="91">
                  <c:v>2.0201329641578787</c:v>
                </c:pt>
                <c:pt idx="92">
                  <c:v>2.0305318083466233</c:v>
                </c:pt>
                <c:pt idx="93">
                  <c:v>2.0407880381750565</c:v>
                </c:pt>
                <c:pt idx="94">
                  <c:v>2.0631521808673692</c:v>
                </c:pt>
                <c:pt idx="95">
                  <c:v>2.1410168713750637</c:v>
                </c:pt>
                <c:pt idx="96">
                  <c:v>2.0963134421592899</c:v>
                </c:pt>
                <c:pt idx="97">
                  <c:v>2.1089831803177383</c:v>
                </c:pt>
                <c:pt idx="98">
                  <c:v>2.1198670118247471</c:v>
                </c:pt>
                <c:pt idx="99">
                  <c:v>2.1303629714558037</c:v>
                </c:pt>
                <c:pt idx="100">
                  <c:v>2.1360234393682318</c:v>
                </c:pt>
                <c:pt idx="101">
                  <c:v>2.1427381465855322</c:v>
                </c:pt>
                <c:pt idx="102">
                  <c:v>2.1333539572218103</c:v>
                </c:pt>
                <c:pt idx="103">
                  <c:v>2.1711391710363581</c:v>
                </c:pt>
                <c:pt idx="104">
                  <c:v>2.1942698506126619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7-4E09-A4E0-9EEACACB2A2B}"/>
            </c:ext>
          </c:extLst>
        </c:ser>
        <c:ser>
          <c:idx val="2"/>
          <c:order val="2"/>
          <c:tx>
            <c:strRef>
              <c:f>'M2 base month 2015-01'!$E$1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'M2 base month 2015-01'!$B$2:$B$130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'M2 base month 2015-01'!$E$2:$E$130</c:f>
              <c:numCache>
                <c:formatCode>General</c:formatCode>
                <c:ptCount val="129"/>
                <c:pt idx="0">
                  <c:v>1</c:v>
                </c:pt>
                <c:pt idx="1">
                  <c:v>1.0098133057408358</c:v>
                </c:pt>
                <c:pt idx="2">
                  <c:v>1.0144859432030562</c:v>
                </c:pt>
                <c:pt idx="3">
                  <c:v>1.0129146884615299</c:v>
                </c:pt>
                <c:pt idx="4">
                  <c:v>1.0143561313276062</c:v>
                </c:pt>
                <c:pt idx="5">
                  <c:v>1.0092214225941818</c:v>
                </c:pt>
                <c:pt idx="6">
                  <c:v>1.0073167873543407</c:v>
                </c:pt>
                <c:pt idx="7">
                  <c:v>1.004727335466103</c:v>
                </c:pt>
                <c:pt idx="8">
                  <c:v>1.0078240567603605</c:v>
                </c:pt>
                <c:pt idx="9">
                  <c:v>1.0149523808737071</c:v>
                </c:pt>
                <c:pt idx="10">
                  <c:v>1.0240156690014315</c:v>
                </c:pt>
                <c:pt idx="11">
                  <c:v>1.035817928695753</c:v>
                </c:pt>
                <c:pt idx="12">
                  <c:v>1.040206101134544</c:v>
                </c:pt>
                <c:pt idx="13">
                  <c:v>1.0472598424249047</c:v>
                </c:pt>
                <c:pt idx="14">
                  <c:v>1.0515690656412631</c:v>
                </c:pt>
                <c:pt idx="15">
                  <c:v>1.0563711609465458</c:v>
                </c:pt>
                <c:pt idx="16">
                  <c:v>1.0517893327917425</c:v>
                </c:pt>
                <c:pt idx="17">
                  <c:v>1.0525483192253393</c:v>
                </c:pt>
                <c:pt idx="18">
                  <c:v>1.0503448806503717</c:v>
                </c:pt>
                <c:pt idx="19">
                  <c:v>1.0486877140494566</c:v>
                </c:pt>
                <c:pt idx="20">
                  <c:v>1.0482632882221332</c:v>
                </c:pt>
                <c:pt idx="21">
                  <c:v>1.0612890248425706</c:v>
                </c:pt>
                <c:pt idx="22">
                  <c:v>1.0688603024781913</c:v>
                </c:pt>
                <c:pt idx="23">
                  <c:v>1.0795479502055807</c:v>
                </c:pt>
                <c:pt idx="24">
                  <c:v>1.0824870680819623</c:v>
                </c:pt>
                <c:pt idx="25">
                  <c:v>1.087863698946907</c:v>
                </c:pt>
                <c:pt idx="26">
                  <c:v>1.0865573784420945</c:v>
                </c:pt>
                <c:pt idx="27">
                  <c:v>1.0947749422012625</c:v>
                </c:pt>
                <c:pt idx="28">
                  <c:v>1.0959737548710431</c:v>
                </c:pt>
                <c:pt idx="29">
                  <c:v>1.0985492814853688</c:v>
                </c:pt>
                <c:pt idx="30">
                  <c:v>1.0969356018627296</c:v>
                </c:pt>
                <c:pt idx="31">
                  <c:v>1.0980584155799742</c:v>
                </c:pt>
                <c:pt idx="32">
                  <c:v>1.0988106163928089</c:v>
                </c:pt>
                <c:pt idx="33">
                  <c:v>1.1063068981676583</c:v>
                </c:pt>
                <c:pt idx="34">
                  <c:v>1.1177308152504408</c:v>
                </c:pt>
                <c:pt idx="35">
                  <c:v>1.1336632167783973</c:v>
                </c:pt>
                <c:pt idx="36">
                  <c:v>1.1374952633416811</c:v>
                </c:pt>
                <c:pt idx="37">
                  <c:v>1.1419920057126667</c:v>
                </c:pt>
                <c:pt idx="38">
                  <c:v>1.1535239026736643</c:v>
                </c:pt>
                <c:pt idx="39">
                  <c:v>1.1546937436930604</c:v>
                </c:pt>
                <c:pt idx="40">
                  <c:v>1.1543331617062993</c:v>
                </c:pt>
                <c:pt idx="41">
                  <c:v>1.154801428544286</c:v>
                </c:pt>
                <c:pt idx="42">
                  <c:v>1.1515332375636389</c:v>
                </c:pt>
                <c:pt idx="43">
                  <c:v>1.1480967631880901</c:v>
                </c:pt>
                <c:pt idx="44">
                  <c:v>1.1516975675968788</c:v>
                </c:pt>
                <c:pt idx="45">
                  <c:v>1.1643912218377561</c:v>
                </c:pt>
                <c:pt idx="46">
                  <c:v>1.1706761817984632</c:v>
                </c:pt>
                <c:pt idx="47">
                  <c:v>1.1865774874817099</c:v>
                </c:pt>
                <c:pt idx="48">
                  <c:v>1.1869555350662588</c:v>
                </c:pt>
                <c:pt idx="49">
                  <c:v>1.196374861765104</c:v>
                </c:pt>
                <c:pt idx="50">
                  <c:v>1.1971587484766282</c:v>
                </c:pt>
                <c:pt idx="51">
                  <c:v>1.2024272814525618</c:v>
                </c:pt>
                <c:pt idx="52">
                  <c:v>1.198123722754405</c:v>
                </c:pt>
                <c:pt idx="53">
                  <c:v>1.1930160974986315</c:v>
                </c:pt>
                <c:pt idx="54">
                  <c:v>1.1942925612720903</c:v>
                </c:pt>
                <c:pt idx="55">
                  <c:v>1.2000788666148756</c:v>
                </c:pt>
                <c:pt idx="56">
                  <c:v>1.2059134973785672</c:v>
                </c:pt>
                <c:pt idx="57">
                  <c:v>1.2154398598692606</c:v>
                </c:pt>
                <c:pt idx="58">
                  <c:v>1.2215312231193534</c:v>
                </c:pt>
                <c:pt idx="59">
                  <c:v>1.2297320883509064</c:v>
                </c:pt>
                <c:pt idx="60">
                  <c:v>1.2318142708331243</c:v>
                </c:pt>
                <c:pt idx="61">
                  <c:v>1.2353790819491748</c:v>
                </c:pt>
                <c:pt idx="62">
                  <c:v>1.289812328611446</c:v>
                </c:pt>
                <c:pt idx="63">
                  <c:v>1.3151452341163075</c:v>
                </c:pt>
                <c:pt idx="64">
                  <c:v>1.327298634933721</c:v>
                </c:pt>
                <c:pt idx="65">
                  <c:v>1.3238415676742941</c:v>
                </c:pt>
                <c:pt idx="66">
                  <c:v>1.3306960477358389</c:v>
                </c:pt>
                <c:pt idx="67">
                  <c:v>1.3272264123266524</c:v>
                </c:pt>
                <c:pt idx="68">
                  <c:v>1.3238350180751235</c:v>
                </c:pt>
                <c:pt idx="69">
                  <c:v>1.3289543854050856</c:v>
                </c:pt>
                <c:pt idx="70">
                  <c:v>1.3441633807543982</c:v>
                </c:pt>
                <c:pt idx="71">
                  <c:v>1.3546718290882687</c:v>
                </c:pt>
                <c:pt idx="72">
                  <c:v>1.3521261001998985</c:v>
                </c:pt>
                <c:pt idx="73">
                  <c:v>1.3582988318937392</c:v>
                </c:pt>
                <c:pt idx="74">
                  <c:v>1.3635955104444866</c:v>
                </c:pt>
                <c:pt idx="75">
                  <c:v>1.3712738828773534</c:v>
                </c:pt>
                <c:pt idx="76">
                  <c:v>1.3737990188818454</c:v>
                </c:pt>
                <c:pt idx="77">
                  <c:v>1.3627369819045787</c:v>
                </c:pt>
                <c:pt idx="78">
                  <c:v>1.3728510971640708</c:v>
                </c:pt>
                <c:pt idx="79">
                  <c:v>1.3792249192540631</c:v>
                </c:pt>
                <c:pt idx="80">
                  <c:v>1.3876363747508349</c:v>
                </c:pt>
                <c:pt idx="81">
                  <c:v>1.4001046873770107</c:v>
                </c:pt>
                <c:pt idx="82">
                  <c:v>1.4057660192869763</c:v>
                </c:pt>
                <c:pt idx="83">
                  <c:v>1.4197652859678909</c:v>
                </c:pt>
                <c:pt idx="84">
                  <c:v>1.4214134837483203</c:v>
                </c:pt>
                <c:pt idx="85">
                  <c:v>1.4320339243274653</c:v>
                </c:pt>
                <c:pt idx="86">
                  <c:v>1.4491555206453397</c:v>
                </c:pt>
                <c:pt idx="87">
                  <c:v>1.4535175536928469</c:v>
                </c:pt>
                <c:pt idx="88">
                  <c:v>1.4536755111431103</c:v>
                </c:pt>
                <c:pt idx="89">
                  <c:v>1.4483391219595552</c:v>
                </c:pt>
                <c:pt idx="90">
                  <c:v>1.4468928996562465</c:v>
                </c:pt>
                <c:pt idx="91">
                  <c:v>1.4511224065799988</c:v>
                </c:pt>
                <c:pt idx="92">
                  <c:v>1.4509794955062079</c:v>
                </c:pt>
                <c:pt idx="93">
                  <c:v>1.4591213553398292</c:v>
                </c:pt>
                <c:pt idx="94">
                  <c:v>1.4725810766620553</c:v>
                </c:pt>
                <c:pt idx="95">
                  <c:v>1.4752458194380538</c:v>
                </c:pt>
                <c:pt idx="96">
                  <c:v>1.4736821763928607</c:v>
                </c:pt>
                <c:pt idx="97">
                  <c:v>1.4823867117011598</c:v>
                </c:pt>
                <c:pt idx="98">
                  <c:v>1.4889980895232258</c:v>
                </c:pt>
                <c:pt idx="99">
                  <c:v>1.4868881745039799</c:v>
                </c:pt>
                <c:pt idx="100">
                  <c:v>1.4806687695403751</c:v>
                </c:pt>
                <c:pt idx="101">
                  <c:v>1.4735877087507718</c:v>
                </c:pt>
                <c:pt idx="102">
                  <c:v>1.4703595824353204</c:v>
                </c:pt>
                <c:pt idx="103">
                  <c:v>1.4696665640366111</c:v>
                </c:pt>
                <c:pt idx="104">
                  <c:v>1.4768764926152975</c:v>
                </c:pt>
                <c:pt idx="105">
                  <c:v>1.4843656347369971</c:v>
                </c:pt>
                <c:pt idx="106">
                  <c:v>1.4942945320523813</c:v>
                </c:pt>
                <c:pt idx="107">
                  <c:v>1.5035577304682988</c:v>
                </c:pt>
                <c:pt idx="108">
                  <c:v>1.5080960126394283</c:v>
                </c:pt>
                <c:pt idx="109">
                  <c:v>1.5202113549751759</c:v>
                </c:pt>
                <c:pt idx="110">
                  <c:v>1.5260701779520194</c:v>
                </c:pt>
                <c:pt idx="111">
                  <c:v>1.525704580506434</c:v>
                </c:pt>
                <c:pt idx="112">
                  <c:v>1.526068820827867</c:v>
                </c:pt>
                <c:pt idx="113">
                  <c:v>1.5175538108577249</c:v>
                </c:pt>
                <c:pt idx="114">
                  <c:v>1.5173350778475916</c:v>
                </c:pt>
                <c:pt idx="115">
                  <c:v>1.5090946789994242</c:v>
                </c:pt>
                <c:pt idx="116">
                  <c:v>1.5218779624397598</c:v>
                </c:pt>
                <c:pt idx="117">
                  <c:v>1.5455839711128454</c:v>
                </c:pt>
                <c:pt idx="118">
                  <c:v>1.5507101830689676</c:v>
                </c:pt>
                <c:pt idx="119">
                  <c:v>1.5542792425736691</c:v>
                </c:pt>
                <c:pt idx="120">
                  <c:v>1.563121437475343</c:v>
                </c:pt>
                <c:pt idx="121">
                  <c:v>1.5692649024918097</c:v>
                </c:pt>
                <c:pt idx="122">
                  <c:v>1.5726882776690176</c:v>
                </c:pt>
                <c:pt idx="123">
                  <c:v>1.5701110989035498</c:v>
                </c:pt>
                <c:pt idx="124">
                  <c:v>1.5729178676723703</c:v>
                </c:pt>
                <c:pt idx="125">
                  <c:v>1.5663257846154282</c:v>
                </c:pt>
                <c:pt idx="126">
                  <c:v>1.5730388877435286</c:v>
                </c:pt>
                <c:pt idx="127">
                  <c:v>1.5767316225622952</c:v>
                </c:pt>
                <c:pt idx="128">
                  <c:v>1.5830728736726294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C7-4E09-A4E0-9EEACACB2A2B}"/>
            </c:ext>
          </c:extLst>
        </c:ser>
        <c:ser>
          <c:idx val="3"/>
          <c:order val="3"/>
          <c:tx>
            <c:strRef>
              <c:f>'M2 base month 2015-01'!$F$1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'M2 base month 2015-01'!$B$2:$B$130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'M2 base month 2015-01'!$F$2:$F$130</c:f>
              <c:numCache>
                <c:formatCode>General</c:formatCode>
                <c:ptCount val="129"/>
                <c:pt idx="0">
                  <c:v>1</c:v>
                </c:pt>
                <c:pt idx="1">
                  <c:v>1.011505686270235</c:v>
                </c:pt>
                <c:pt idx="2">
                  <c:v>1.0151493778045713</c:v>
                </c:pt>
                <c:pt idx="3">
                  <c:v>1.0239619982517876</c:v>
                </c:pt>
                <c:pt idx="4">
                  <c:v>1.0378585842761154</c:v>
                </c:pt>
                <c:pt idx="5">
                  <c:v>1.045514682461101</c:v>
                </c:pt>
                <c:pt idx="6">
                  <c:v>1.0480567129550673</c:v>
                </c:pt>
                <c:pt idx="7">
                  <c:v>1.0583314088175724</c:v>
                </c:pt>
                <c:pt idx="8">
                  <c:v>1.0594084061608102</c:v>
                </c:pt>
                <c:pt idx="9">
                  <c:v>1.0685528654421674</c:v>
                </c:pt>
                <c:pt idx="10">
                  <c:v>1.0682538479303223</c:v>
                </c:pt>
                <c:pt idx="11">
                  <c:v>1.0721194650334369</c:v>
                </c:pt>
                <c:pt idx="12">
                  <c:v>1.083665176142925</c:v>
                </c:pt>
                <c:pt idx="13">
                  <c:v>1.090405616682353</c:v>
                </c:pt>
                <c:pt idx="14">
                  <c:v>1.095539672940294</c:v>
                </c:pt>
                <c:pt idx="15">
                  <c:v>1.0950051815231412</c:v>
                </c:pt>
                <c:pt idx="16">
                  <c:v>1.1055249400784268</c:v>
                </c:pt>
                <c:pt idx="17">
                  <c:v>1.1151430186733764</c:v>
                </c:pt>
                <c:pt idx="18">
                  <c:v>1.127282375908806</c:v>
                </c:pt>
                <c:pt idx="19">
                  <c:v>1.1357999860986434</c:v>
                </c:pt>
                <c:pt idx="20">
                  <c:v>1.1354865138474732</c:v>
                </c:pt>
                <c:pt idx="21">
                  <c:v>1.1416753844328564</c:v>
                </c:pt>
                <c:pt idx="22">
                  <c:v>1.1470414798065622</c:v>
                </c:pt>
                <c:pt idx="23">
                  <c:v>1.1484882417851403</c:v>
                </c:pt>
                <c:pt idx="24">
                  <c:v>1.1456682795706876</c:v>
                </c:pt>
                <c:pt idx="25">
                  <c:v>1.1578475662345495</c:v>
                </c:pt>
                <c:pt idx="26">
                  <c:v>1.1632043590532442</c:v>
                </c:pt>
                <c:pt idx="27">
                  <c:v>1.1670572865172155</c:v>
                </c:pt>
                <c:pt idx="28">
                  <c:v>1.1687536432025538</c:v>
                </c:pt>
                <c:pt idx="29">
                  <c:v>1.175381498973642</c:v>
                </c:pt>
                <c:pt idx="30">
                  <c:v>1.1781476017798507</c:v>
                </c:pt>
                <c:pt idx="31">
                  <c:v>1.1848014092941492</c:v>
                </c:pt>
                <c:pt idx="32">
                  <c:v>1.1975029747901236</c:v>
                </c:pt>
                <c:pt idx="33">
                  <c:v>1.1940639394660324</c:v>
                </c:pt>
                <c:pt idx="34">
                  <c:v>1.2035898035028461</c:v>
                </c:pt>
                <c:pt idx="35">
                  <c:v>1.2071155672628873</c:v>
                </c:pt>
                <c:pt idx="36">
                  <c:v>1.2187986699540783</c:v>
                </c:pt>
                <c:pt idx="37">
                  <c:v>1.2257014520048031</c:v>
                </c:pt>
                <c:pt idx="38">
                  <c:v>1.232807220576412</c:v>
                </c:pt>
                <c:pt idx="39">
                  <c:v>1.2327922887829839</c:v>
                </c:pt>
                <c:pt idx="40">
                  <c:v>1.2450323998449955</c:v>
                </c:pt>
                <c:pt idx="41">
                  <c:v>1.255769122606387</c:v>
                </c:pt>
                <c:pt idx="42">
                  <c:v>1.2569373326941444</c:v>
                </c:pt>
                <c:pt idx="43">
                  <c:v>1.260617900510653</c:v>
                </c:pt>
                <c:pt idx="44">
                  <c:v>1.2697888840001446</c:v>
                </c:pt>
                <c:pt idx="45">
                  <c:v>1.2795796084750188</c:v>
                </c:pt>
                <c:pt idx="46">
                  <c:v>1.2819125938609912</c:v>
                </c:pt>
                <c:pt idx="47">
                  <c:v>1.2882189628719765</c:v>
                </c:pt>
                <c:pt idx="48">
                  <c:v>1.294176032868646</c:v>
                </c:pt>
                <c:pt idx="49">
                  <c:v>1.3069641836843393</c:v>
                </c:pt>
                <c:pt idx="50">
                  <c:v>1.3181792963003547</c:v>
                </c:pt>
                <c:pt idx="51">
                  <c:v>1.316863294851446</c:v>
                </c:pt>
                <c:pt idx="52">
                  <c:v>1.3229750734937624</c:v>
                </c:pt>
                <c:pt idx="53">
                  <c:v>1.342398235892091</c:v>
                </c:pt>
                <c:pt idx="54">
                  <c:v>1.339263417969569</c:v>
                </c:pt>
                <c:pt idx="55">
                  <c:v>1.3590724217265131</c:v>
                </c:pt>
                <c:pt idx="56">
                  <c:v>1.3614953795163367</c:v>
                </c:pt>
                <c:pt idx="57">
                  <c:v>1.3700765810181221</c:v>
                </c:pt>
                <c:pt idx="58">
                  <c:v>1.3917762933020221</c:v>
                </c:pt>
                <c:pt idx="59">
                  <c:v>1.3899494146140658</c:v>
                </c:pt>
                <c:pt idx="60">
                  <c:v>1.3941682425751418</c:v>
                </c:pt>
                <c:pt idx="61">
                  <c:v>1.42065924774388</c:v>
                </c:pt>
                <c:pt idx="62">
                  <c:v>1.4248837049433729</c:v>
                </c:pt>
                <c:pt idx="63">
                  <c:v>1.4366156102693146</c:v>
                </c:pt>
                <c:pt idx="64">
                  <c:v>1.462572553369593</c:v>
                </c:pt>
                <c:pt idx="65">
                  <c:v>1.4707968706968229</c:v>
                </c:pt>
                <c:pt idx="66">
                  <c:v>1.4711560447310734</c:v>
                </c:pt>
                <c:pt idx="67">
                  <c:v>1.4751590057104806</c:v>
                </c:pt>
                <c:pt idx="68">
                  <c:v>1.4942769488936232</c:v>
                </c:pt>
                <c:pt idx="69">
                  <c:v>1.5086487285100842</c:v>
                </c:pt>
                <c:pt idx="70">
                  <c:v>1.5221826580052087</c:v>
                </c:pt>
                <c:pt idx="71">
                  <c:v>1.5264947500434478</c:v>
                </c:pt>
                <c:pt idx="72">
                  <c:v>1.5419406169731176</c:v>
                </c:pt>
                <c:pt idx="73">
                  <c:v>1.5691331302005158</c:v>
                </c:pt>
                <c:pt idx="74">
                  <c:v>1.5861671102395227</c:v>
                </c:pt>
                <c:pt idx="75">
                  <c:v>1.5949705235425484</c:v>
                </c:pt>
                <c:pt idx="76">
                  <c:v>1.6145990100268663</c:v>
                </c:pt>
                <c:pt idx="77">
                  <c:v>1.6309729857141855</c:v>
                </c:pt>
                <c:pt idx="78">
                  <c:v>1.6406819908211929</c:v>
                </c:pt>
                <c:pt idx="79">
                  <c:v>1.6649127613546868</c:v>
                </c:pt>
                <c:pt idx="80">
                  <c:v>1.67141510419124</c:v>
                </c:pt>
                <c:pt idx="81">
                  <c:v>1.6998541120847201</c:v>
                </c:pt>
                <c:pt idx="82">
                  <c:v>1.7156861066054676</c:v>
                </c:pt>
                <c:pt idx="83">
                  <c:v>1.7239244970287402</c:v>
                </c:pt>
                <c:pt idx="84">
                  <c:v>1.7315691936206608</c:v>
                </c:pt>
                <c:pt idx="85">
                  <c:v>1.7446428136116703</c:v>
                </c:pt>
                <c:pt idx="86">
                  <c:v>1.7425921488439333</c:v>
                </c:pt>
                <c:pt idx="87">
                  <c:v>1.7535040935774062</c:v>
                </c:pt>
                <c:pt idx="88">
                  <c:v>1.7672305621085562</c:v>
                </c:pt>
                <c:pt idx="89">
                  <c:v>1.7712247929978762</c:v>
                </c:pt>
                <c:pt idx="90">
                  <c:v>1.778304991469557</c:v>
                </c:pt>
                <c:pt idx="91">
                  <c:v>1.7829347538350737</c:v>
                </c:pt>
                <c:pt idx="92">
                  <c:v>1.7879227361266345</c:v>
                </c:pt>
                <c:pt idx="93">
                  <c:v>1.7984747912447023</c:v>
                </c:pt>
                <c:pt idx="94">
                  <c:v>1.8118743823043841</c:v>
                </c:pt>
                <c:pt idx="95">
                  <c:v>1.7928816658233144</c:v>
                </c:pt>
                <c:pt idx="96">
                  <c:v>1.798401086385768</c:v>
                </c:pt>
                <c:pt idx="97">
                  <c:v>1.813856589808321</c:v>
                </c:pt>
                <c:pt idx="98">
                  <c:v>1.8018000014597855</c:v>
                </c:pt>
                <c:pt idx="99">
                  <c:v>1.8001146170188194</c:v>
                </c:pt>
                <c:pt idx="100">
                  <c:v>1.802196910473594</c:v>
                </c:pt>
                <c:pt idx="101">
                  <c:v>1.8167146686456144</c:v>
                </c:pt>
                <c:pt idx="102">
                  <c:v>1.8071610400599982</c:v>
                </c:pt>
                <c:pt idx="103">
                  <c:v>1.8244546806473414</c:v>
                </c:pt>
                <c:pt idx="104">
                  <c:v>1.8316342494887052</c:v>
                </c:pt>
                <c:pt idx="105">
                  <c:v>1.8383824660100143</c:v>
                </c:pt>
                <c:pt idx="106">
                  <c:v>1.8636980575740376</c:v>
                </c:pt>
                <c:pt idx="107">
                  <c:v>1.8626828387371557</c:v>
                </c:pt>
                <c:pt idx="108">
                  <c:v>1.8619509900375359</c:v>
                </c:pt>
                <c:pt idx="109">
                  <c:v>1.8928800772331511</c:v>
                </c:pt>
                <c:pt idx="110">
                  <c:v>1.9149787498635029</c:v>
                </c:pt>
                <c:pt idx="111">
                  <c:v>1.8944268297517464</c:v>
                </c:pt>
                <c:pt idx="112">
                  <c:v>1.9126820205893689</c:v>
                </c:pt>
                <c:pt idx="113">
                  <c:v>1.9273687513247195</c:v>
                </c:pt>
                <c:pt idx="114">
                  <c:v>1.9284266665038321</c:v>
                </c:pt>
                <c:pt idx="115">
                  <c:v>1.9427220220529708</c:v>
                </c:pt>
                <c:pt idx="116">
                  <c:v>1.9447029415108295</c:v>
                </c:pt>
                <c:pt idx="117">
                  <c:v>1.9643340517927144</c:v>
                </c:pt>
                <c:pt idx="118">
                  <c:v>1.9834204139942295</c:v>
                </c:pt>
                <c:pt idx="119">
                  <c:v>1.9847148048922663</c:v>
                </c:pt>
                <c:pt idx="120">
                  <c:v>1.9934444656309471</c:v>
                </c:pt>
                <c:pt idx="121">
                  <c:v>2.0132000870337503</c:v>
                </c:pt>
                <c:pt idx="122">
                  <c:v>2.017029638846668</c:v>
                </c:pt>
                <c:pt idx="123">
                  <c:v>2.0171717055585821</c:v>
                </c:pt>
                <c:pt idx="124">
                  <c:v>2.0422913232970372</c:v>
                </c:pt>
                <c:pt idx="125">
                  <c:v>2.0577083761588777</c:v>
                </c:pt>
                <c:pt idx="126">
                  <c:v>2.0780480071947394</c:v>
                </c:pt>
                <c:pt idx="127">
                  <c:v>2.1075091989150074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C7-4E09-A4E0-9EEACACB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067391"/>
        <c:axId val="1506072191"/>
      </c:lineChart>
      <c:catAx>
        <c:axId val="15060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06072191"/>
        <c:crosses val="autoZero"/>
        <c:auto val="1"/>
        <c:lblAlgn val="ctr"/>
        <c:lblOffset val="100"/>
        <c:noMultiLvlLbl val="0"/>
      </c:catAx>
      <c:valAx>
        <c:axId val="150607219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0606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472440</xdr:colOff>
      <xdr:row>25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9455A-2027-4D69-AEA8-3C5A1389C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0"/>
  <sheetViews>
    <sheetView workbookViewId="0">
      <selection activeCell="K5" sqref="K5"/>
    </sheetView>
  </sheetViews>
  <sheetFormatPr defaultRowHeight="14.4" x14ac:dyDescent="0.3"/>
  <cols>
    <col min="3" max="6" width="12" bestFit="1" customWidth="1"/>
    <col min="10" max="10" width="12" bestFit="1" customWidth="1"/>
    <col min="11" max="11" width="9.5546875" customWidth="1"/>
  </cols>
  <sheetData>
    <row r="1" spans="2:13" x14ac:dyDescent="0.3">
      <c r="B1" t="s">
        <v>1</v>
      </c>
      <c r="C1" t="s">
        <v>0</v>
      </c>
      <c r="D1" t="s">
        <v>2</v>
      </c>
      <c r="E1" t="s">
        <v>118</v>
      </c>
      <c r="F1" t="s">
        <v>119</v>
      </c>
    </row>
    <row r="2" spans="2:13" x14ac:dyDescent="0.3">
      <c r="B2" s="3" t="s">
        <v>3</v>
      </c>
      <c r="C2">
        <v>4174825910000000</v>
      </c>
      <c r="D2" s="1">
        <v>8833456411052.3496</v>
      </c>
      <c r="E2">
        <v>16947602000000</v>
      </c>
      <c r="F2">
        <v>2096198300000000</v>
      </c>
      <c r="J2" t="s">
        <v>0</v>
      </c>
      <c r="K2" t="s">
        <v>2</v>
      </c>
      <c r="L2" t="s">
        <v>118</v>
      </c>
      <c r="M2" t="s">
        <v>119</v>
      </c>
    </row>
    <row r="3" spans="2:13" x14ac:dyDescent="0.3">
      <c r="B3" s="4" t="s">
        <v>4</v>
      </c>
      <c r="C3">
        <v>4218122760000000</v>
      </c>
      <c r="D3" s="2">
        <v>8888581783975.0605</v>
      </c>
      <c r="E3">
        <v>17113914000000</v>
      </c>
      <c r="F3">
        <v>2120316500000000</v>
      </c>
      <c r="I3" t="s">
        <v>134</v>
      </c>
      <c r="J3">
        <f>MIN(C2:C130)</f>
        <v>4174825910000000</v>
      </c>
      <c r="K3">
        <f t="shared" ref="K3:M3" si="0">MIN(D2:D130)</f>
        <v>8833456411052.3496</v>
      </c>
      <c r="L3">
        <f t="shared" si="0"/>
        <v>16947602000000</v>
      </c>
      <c r="M3">
        <f t="shared" si="0"/>
        <v>2096198300000000</v>
      </c>
    </row>
    <row r="4" spans="2:13" x14ac:dyDescent="0.3">
      <c r="B4" s="3" t="s">
        <v>5</v>
      </c>
      <c r="C4">
        <v>4246361190000000.5</v>
      </c>
      <c r="D4" s="1">
        <v>9006608512536.3105</v>
      </c>
      <c r="E4">
        <v>17193104000000</v>
      </c>
      <c r="F4">
        <v>2127954400000000</v>
      </c>
      <c r="I4" t="s">
        <v>135</v>
      </c>
      <c r="J4">
        <f>MAX(C2:C130)</f>
        <v>9595253600000000</v>
      </c>
      <c r="K4">
        <f t="shared" ref="K4:M4" si="1">MAX(D2:D130)</f>
        <v>19382987079473.301</v>
      </c>
      <c r="L4">
        <f t="shared" si="1"/>
        <v>26829289000000</v>
      </c>
      <c r="M4">
        <f t="shared" si="1"/>
        <v>4417757200000000</v>
      </c>
    </row>
    <row r="5" spans="2:13" x14ac:dyDescent="0.3">
      <c r="B5" s="4" t="s">
        <v>6</v>
      </c>
      <c r="C5">
        <v>4275711110000000.5</v>
      </c>
      <c r="D5" s="2">
        <v>8975235849165.8809</v>
      </c>
      <c r="E5">
        <v>17166475000000</v>
      </c>
      <c r="F5">
        <v>2146427400000000</v>
      </c>
      <c r="I5" t="s">
        <v>136</v>
      </c>
      <c r="J5">
        <f>AVERAGE(C2:C130)</f>
        <v>6632077626220472</v>
      </c>
      <c r="K5">
        <f>AVERAGE(D2:D130)</f>
        <v>13962073368329.193</v>
      </c>
      <c r="L5">
        <f t="shared" ref="K5:M5" si="2">AVERAGE(E2:E130)</f>
        <v>21844018627906.977</v>
      </c>
      <c r="M5">
        <f t="shared" si="2"/>
        <v>3129545260937500</v>
      </c>
    </row>
    <row r="6" spans="2:13" x14ac:dyDescent="0.3">
      <c r="B6" s="3" t="s">
        <v>7</v>
      </c>
      <c r="C6">
        <v>4288369260000000</v>
      </c>
      <c r="D6" s="1">
        <v>8982820402198.2695</v>
      </c>
      <c r="E6">
        <v>17190904000000</v>
      </c>
      <c r="F6">
        <v>2175557400000000</v>
      </c>
      <c r="I6" t="s">
        <v>137</v>
      </c>
      <c r="J6">
        <f>_xlfn.STDEV.S(C2:C130)</f>
        <v>1647720872325780.5</v>
      </c>
      <c r="K6">
        <f t="shared" ref="K6:M6" si="3">_xlfn.STDEV.S(D2:D130)</f>
        <v>3138433053254.7456</v>
      </c>
      <c r="L6">
        <f t="shared" si="3"/>
        <v>3214486302541.2324</v>
      </c>
      <c r="M6">
        <f t="shared" si="3"/>
        <v>685174272000482.5</v>
      </c>
    </row>
    <row r="7" spans="2:13" x14ac:dyDescent="0.3">
      <c r="B7" s="4" t="s">
        <v>8</v>
      </c>
      <c r="C7">
        <v>4358801510000000</v>
      </c>
      <c r="D7" s="2">
        <v>9126231174584.4199</v>
      </c>
      <c r="E7">
        <v>17103883000000</v>
      </c>
      <c r="F7">
        <v>2191606100000000</v>
      </c>
      <c r="I7" t="s">
        <v>138</v>
      </c>
      <c r="J7">
        <f>J6/J5</f>
        <v>0.24844716319534299</v>
      </c>
      <c r="K7">
        <f t="shared" ref="K7:M7" si="4">K6/K5</f>
        <v>0.22478273609231966</v>
      </c>
      <c r="L7">
        <f t="shared" si="4"/>
        <v>0.14715636153297101</v>
      </c>
      <c r="M7">
        <f t="shared" si="4"/>
        <v>0.2189373263115002</v>
      </c>
    </row>
    <row r="8" spans="2:13" x14ac:dyDescent="0.3">
      <c r="B8" s="3" t="s">
        <v>9</v>
      </c>
      <c r="C8">
        <v>4373208099999999.5</v>
      </c>
      <c r="D8" s="1">
        <v>9152373375277.6797</v>
      </c>
      <c r="E8">
        <v>17071604000000</v>
      </c>
      <c r="F8">
        <v>2196934700000000.3</v>
      </c>
    </row>
    <row r="9" spans="2:13" x14ac:dyDescent="0.3">
      <c r="B9" s="4" t="s">
        <v>10</v>
      </c>
      <c r="C9">
        <v>4404085030000000.5</v>
      </c>
      <c r="D9" s="2">
        <v>9237718089476.5098</v>
      </c>
      <c r="E9">
        <v>17027719000000</v>
      </c>
      <c r="F9">
        <v>2218472500000000</v>
      </c>
    </row>
    <row r="10" spans="2:13" x14ac:dyDescent="0.3">
      <c r="B10" s="3" t="s">
        <v>11</v>
      </c>
      <c r="C10">
        <v>4508603170000000</v>
      </c>
      <c r="D10" s="1">
        <v>9334273237782.5293</v>
      </c>
      <c r="E10">
        <v>17080201000000</v>
      </c>
      <c r="F10">
        <v>2220730100000000</v>
      </c>
    </row>
    <row r="11" spans="2:13" x14ac:dyDescent="0.3">
      <c r="B11" s="4" t="s">
        <v>12</v>
      </c>
      <c r="C11">
        <v>4443078080000000</v>
      </c>
      <c r="D11" s="2">
        <v>9402780416435.9902</v>
      </c>
      <c r="E11">
        <v>17201009000000</v>
      </c>
      <c r="F11">
        <v>2239898700000000.3</v>
      </c>
    </row>
    <row r="12" spans="2:13" x14ac:dyDescent="0.3">
      <c r="B12" s="3" t="s">
        <v>13</v>
      </c>
      <c r="C12">
        <v>4452324650000000.5</v>
      </c>
      <c r="D12" s="1">
        <v>9520806551477.3691</v>
      </c>
      <c r="E12">
        <v>17354610000000</v>
      </c>
      <c r="F12">
        <v>2239271900000000</v>
      </c>
    </row>
    <row r="13" spans="2:13" x14ac:dyDescent="0.3">
      <c r="B13" s="4" t="s">
        <v>14</v>
      </c>
      <c r="C13">
        <v>4548800270000000</v>
      </c>
      <c r="D13" s="2">
        <v>9888717324664.5391</v>
      </c>
      <c r="E13">
        <v>17554630000000</v>
      </c>
      <c r="F13">
        <v>2247375000000000</v>
      </c>
    </row>
    <row r="14" spans="2:13" x14ac:dyDescent="0.3">
      <c r="B14" s="3" t="s">
        <v>15</v>
      </c>
      <c r="C14">
        <v>4498361280000000.5</v>
      </c>
      <c r="D14" s="1">
        <v>9869135008747.4902</v>
      </c>
      <c r="E14">
        <v>17628999000000</v>
      </c>
      <c r="F14">
        <v>2271577100000000</v>
      </c>
    </row>
    <row r="15" spans="2:13" x14ac:dyDescent="0.3">
      <c r="B15" s="4" t="s">
        <v>16</v>
      </c>
      <c r="C15">
        <v>4521951200000000</v>
      </c>
      <c r="D15" s="2">
        <v>9918310283075.8203</v>
      </c>
      <c r="E15">
        <v>17748543000000</v>
      </c>
      <c r="F15">
        <v>2285706400000000</v>
      </c>
    </row>
    <row r="16" spans="2:13" x14ac:dyDescent="0.3">
      <c r="B16" s="3" t="s">
        <v>17</v>
      </c>
      <c r="C16">
        <v>4561872520000000</v>
      </c>
      <c r="D16" s="1">
        <v>10037812193476.6</v>
      </c>
      <c r="E16">
        <v>17821574000000</v>
      </c>
      <c r="F16">
        <v>2296468400000000</v>
      </c>
    </row>
    <row r="17" spans="2:6" x14ac:dyDescent="0.3">
      <c r="B17" s="4" t="s">
        <v>18</v>
      </c>
      <c r="C17">
        <v>4581877870000000</v>
      </c>
      <c r="D17" s="2">
        <v>10083295110667</v>
      </c>
      <c r="E17">
        <v>17902958000000</v>
      </c>
      <c r="F17">
        <v>2295348000000000</v>
      </c>
    </row>
    <row r="18" spans="2:6" x14ac:dyDescent="0.3">
      <c r="B18" s="3" t="s">
        <v>19</v>
      </c>
      <c r="C18">
        <v>4614061820000000</v>
      </c>
      <c r="D18" s="1">
        <v>10178071239139.6</v>
      </c>
      <c r="E18">
        <v>17825307000000</v>
      </c>
      <c r="F18">
        <v>2317399500000000</v>
      </c>
    </row>
    <row r="19" spans="2:6" x14ac:dyDescent="0.3">
      <c r="B19" s="4" t="s">
        <v>20</v>
      </c>
      <c r="C19">
        <v>4737451230000000</v>
      </c>
      <c r="D19" s="2">
        <v>10247532737570.699</v>
      </c>
      <c r="E19">
        <v>17838170000000</v>
      </c>
      <c r="F19">
        <v>2337560900000000</v>
      </c>
    </row>
    <row r="20" spans="2:6" x14ac:dyDescent="0.3">
      <c r="B20" s="3" t="s">
        <v>21</v>
      </c>
      <c r="C20">
        <v>4730379680000000</v>
      </c>
      <c r="D20" s="1">
        <v>10286880740749.801</v>
      </c>
      <c r="E20">
        <v>17800827000000</v>
      </c>
      <c r="F20">
        <v>2363007400000000</v>
      </c>
    </row>
    <row r="21" spans="2:6" x14ac:dyDescent="0.3">
      <c r="B21" s="4" t="s">
        <v>22</v>
      </c>
      <c r="C21">
        <v>4746026680000000</v>
      </c>
      <c r="D21" s="2">
        <v>10256446079165.301</v>
      </c>
      <c r="E21">
        <v>17772742000000</v>
      </c>
      <c r="F21">
        <v>2380862000000000</v>
      </c>
    </row>
    <row r="22" spans="2:6" x14ac:dyDescent="0.3">
      <c r="B22" s="3" t="s">
        <v>23</v>
      </c>
      <c r="C22">
        <v>4737630760000000</v>
      </c>
      <c r="D22" s="1">
        <v>10448765053347.5</v>
      </c>
      <c r="E22">
        <v>17765549000000</v>
      </c>
      <c r="F22">
        <v>2380204900000000</v>
      </c>
    </row>
    <row r="23" spans="2:6" x14ac:dyDescent="0.3">
      <c r="B23" s="4" t="s">
        <v>24</v>
      </c>
      <c r="C23">
        <v>4778478890000000</v>
      </c>
      <c r="D23" s="2">
        <v>10528947174362.199</v>
      </c>
      <c r="E23">
        <v>17986304000000</v>
      </c>
      <c r="F23">
        <v>2393178000000000</v>
      </c>
    </row>
    <row r="24" spans="2:6" x14ac:dyDescent="0.3">
      <c r="B24" s="3" t="s">
        <v>25</v>
      </c>
      <c r="C24">
        <v>4868651160000000</v>
      </c>
      <c r="D24" s="1">
        <v>10763057766291.5</v>
      </c>
      <c r="E24">
        <v>18114619000000</v>
      </c>
      <c r="F24">
        <v>2404426400000000</v>
      </c>
    </row>
    <row r="25" spans="2:6" x14ac:dyDescent="0.3">
      <c r="B25" s="4" t="s">
        <v>26</v>
      </c>
      <c r="C25">
        <v>5004976790000000</v>
      </c>
      <c r="D25" s="2">
        <v>11206514794890.1</v>
      </c>
      <c r="E25">
        <v>18295749000000</v>
      </c>
      <c r="F25">
        <v>2407459100000000</v>
      </c>
    </row>
    <row r="26" spans="2:6" x14ac:dyDescent="0.3">
      <c r="B26" s="3" t="s">
        <v>27</v>
      </c>
      <c r="C26">
        <v>4936881990000000</v>
      </c>
      <c r="D26" s="1">
        <v>11072152193404.1</v>
      </c>
      <c r="E26">
        <v>18345560000000</v>
      </c>
      <c r="F26">
        <v>2401547900000000</v>
      </c>
    </row>
    <row r="27" spans="2:6" x14ac:dyDescent="0.3">
      <c r="B27" s="4" t="s">
        <v>28</v>
      </c>
      <c r="C27">
        <v>4942919760000000</v>
      </c>
      <c r="D27" s="2">
        <v>11168874468745.5</v>
      </c>
      <c r="E27">
        <v>18436681000000</v>
      </c>
      <c r="F27">
        <v>2427078100000000</v>
      </c>
    </row>
    <row r="28" spans="2:6" x14ac:dyDescent="0.3">
      <c r="B28" s="3" t="s">
        <v>29</v>
      </c>
      <c r="C28">
        <v>5017643550000000</v>
      </c>
      <c r="D28" s="1">
        <v>11278967620935.1</v>
      </c>
      <c r="E28">
        <v>18414542000000</v>
      </c>
      <c r="F28">
        <v>2438307000000000</v>
      </c>
    </row>
    <row r="29" spans="2:6" x14ac:dyDescent="0.3">
      <c r="B29" s="4" t="s">
        <v>30</v>
      </c>
      <c r="C29">
        <v>5033780290000000</v>
      </c>
      <c r="D29" s="2">
        <v>11250441029125.9</v>
      </c>
      <c r="E29">
        <v>18553810000000</v>
      </c>
      <c r="F29">
        <v>2446383500000000</v>
      </c>
    </row>
    <row r="30" spans="2:6" x14ac:dyDescent="0.3">
      <c r="B30" s="3" t="s">
        <v>31</v>
      </c>
      <c r="C30">
        <v>5125383790000000</v>
      </c>
      <c r="D30" s="1">
        <v>11390231542540.699</v>
      </c>
      <c r="E30">
        <v>18574127000000</v>
      </c>
      <c r="F30">
        <v>2449939400000000</v>
      </c>
    </row>
    <row r="31" spans="2:6" x14ac:dyDescent="0.3">
      <c r="B31" s="4" t="s">
        <v>32</v>
      </c>
      <c r="C31">
        <v>5225165760000000</v>
      </c>
      <c r="D31" s="2">
        <v>11645135049625.4</v>
      </c>
      <c r="E31">
        <v>18617776000000</v>
      </c>
      <c r="F31">
        <v>2463832700000000</v>
      </c>
    </row>
    <row r="32" spans="2:6" x14ac:dyDescent="0.3">
      <c r="B32" s="3" t="s">
        <v>33</v>
      </c>
      <c r="C32">
        <v>5178078750000000</v>
      </c>
      <c r="D32" s="1">
        <v>11802715043599.199</v>
      </c>
      <c r="E32">
        <v>18590428000000</v>
      </c>
      <c r="F32">
        <v>2469631000000000</v>
      </c>
    </row>
    <row r="33" spans="2:6" x14ac:dyDescent="0.3">
      <c r="B33" s="4" t="s">
        <v>34</v>
      </c>
      <c r="C33">
        <v>5219647630000000</v>
      </c>
      <c r="D33" s="2">
        <v>11960371512470.1</v>
      </c>
      <c r="E33">
        <v>18609457000000</v>
      </c>
      <c r="F33">
        <v>2483578700000000</v>
      </c>
    </row>
    <row r="34" spans="2:6" x14ac:dyDescent="0.3">
      <c r="B34" s="3" t="s">
        <v>35</v>
      </c>
      <c r="C34">
        <v>5254138510000000</v>
      </c>
      <c r="D34" s="1">
        <v>12052516712249</v>
      </c>
      <c r="E34">
        <v>18622205000000</v>
      </c>
      <c r="F34">
        <v>2510203700000000</v>
      </c>
    </row>
    <row r="35" spans="2:6" x14ac:dyDescent="0.3">
      <c r="B35" s="4" t="s">
        <v>36</v>
      </c>
      <c r="C35">
        <v>5284320160000000</v>
      </c>
      <c r="D35" s="2">
        <v>12169684682849.301</v>
      </c>
      <c r="E35">
        <v>18749249000000</v>
      </c>
      <c r="F35">
        <v>2502994800000000</v>
      </c>
    </row>
    <row r="36" spans="2:6" x14ac:dyDescent="0.3">
      <c r="B36" s="3" t="s">
        <v>37</v>
      </c>
      <c r="C36">
        <v>5321431770000000</v>
      </c>
      <c r="D36" s="1">
        <v>12269026229296.5</v>
      </c>
      <c r="E36">
        <v>18942857000000</v>
      </c>
      <c r="F36">
        <v>2522962900000000</v>
      </c>
    </row>
    <row r="37" spans="2:6" x14ac:dyDescent="0.3">
      <c r="B37" s="4" t="s">
        <v>38</v>
      </c>
      <c r="C37">
        <v>5419165050000000</v>
      </c>
      <c r="D37" s="2">
        <v>12486648982211.5</v>
      </c>
      <c r="E37">
        <v>19212873000000</v>
      </c>
      <c r="F37">
        <v>2530353600000000</v>
      </c>
    </row>
    <row r="38" spans="2:6" x14ac:dyDescent="0.3">
      <c r="B38" s="3" t="s">
        <v>39</v>
      </c>
      <c r="C38">
        <v>5351684670000000</v>
      </c>
      <c r="D38" s="1">
        <v>12518057905559.801</v>
      </c>
      <c r="E38">
        <v>19277817000000</v>
      </c>
      <c r="F38">
        <v>2554843700000000</v>
      </c>
    </row>
    <row r="39" spans="2:6" x14ac:dyDescent="0.3">
      <c r="B39" s="4" t="s">
        <v>40</v>
      </c>
      <c r="C39">
        <v>5351650330000000</v>
      </c>
      <c r="D39" s="2">
        <v>12657364781213.1</v>
      </c>
      <c r="E39">
        <v>19354026000000</v>
      </c>
      <c r="F39">
        <v>2569313300000000</v>
      </c>
    </row>
    <row r="40" spans="2:6" x14ac:dyDescent="0.3">
      <c r="B40" s="3" t="s">
        <v>41</v>
      </c>
      <c r="C40">
        <v>5395826040000000</v>
      </c>
      <c r="D40" s="1">
        <v>12795475697195.5</v>
      </c>
      <c r="E40">
        <v>19549464000000</v>
      </c>
      <c r="F40">
        <v>2584208400000000</v>
      </c>
    </row>
    <row r="41" spans="2:6" x14ac:dyDescent="0.3">
      <c r="B41" s="4" t="s">
        <v>42</v>
      </c>
      <c r="C41">
        <v>5409088810000000</v>
      </c>
      <c r="D41" s="2">
        <v>12780278229139.1</v>
      </c>
      <c r="E41">
        <v>19569290000000</v>
      </c>
      <c r="F41">
        <v>2584177100000000</v>
      </c>
    </row>
    <row r="42" spans="2:6" x14ac:dyDescent="0.3">
      <c r="B42" s="3" t="s">
        <v>43</v>
      </c>
      <c r="C42">
        <v>5435082930000000</v>
      </c>
      <c r="D42" s="1">
        <v>12936131836917.199</v>
      </c>
      <c r="E42">
        <v>19563179000000</v>
      </c>
      <c r="F42">
        <v>2609834800000000</v>
      </c>
    </row>
    <row r="43" spans="2:6" x14ac:dyDescent="0.3">
      <c r="B43" s="4" t="s">
        <v>44</v>
      </c>
      <c r="C43">
        <v>5534149830000000</v>
      </c>
      <c r="D43" s="2">
        <v>12961596435705.199</v>
      </c>
      <c r="E43">
        <v>19571115000000</v>
      </c>
      <c r="F43">
        <v>2632341100000000</v>
      </c>
    </row>
    <row r="44" spans="2:6" x14ac:dyDescent="0.3">
      <c r="B44" s="3" t="s">
        <v>45</v>
      </c>
      <c r="C44">
        <v>5507791750000000</v>
      </c>
      <c r="D44" s="1">
        <v>13035068353518.801</v>
      </c>
      <c r="E44">
        <v>19515727000000</v>
      </c>
      <c r="F44">
        <v>2634789900000000</v>
      </c>
    </row>
    <row r="45" spans="2:6" x14ac:dyDescent="0.3">
      <c r="B45" s="4" t="s">
        <v>46</v>
      </c>
      <c r="C45">
        <v>5529451810000000</v>
      </c>
      <c r="D45" s="2">
        <v>13075336285789.801</v>
      </c>
      <c r="E45">
        <v>19457487000000</v>
      </c>
      <c r="F45">
        <v>2642505100000000</v>
      </c>
    </row>
    <row r="46" spans="2:6" x14ac:dyDescent="0.3">
      <c r="B46" s="3" t="s">
        <v>47</v>
      </c>
      <c r="C46">
        <v>5606779890000000</v>
      </c>
      <c r="D46" s="1">
        <v>13120394811416.5</v>
      </c>
      <c r="E46">
        <v>19518512000000</v>
      </c>
      <c r="F46">
        <v>2661729300000000</v>
      </c>
    </row>
    <row r="47" spans="2:6" x14ac:dyDescent="0.3">
      <c r="B47" s="4" t="s">
        <v>48</v>
      </c>
      <c r="C47">
        <v>5667512100000000</v>
      </c>
      <c r="D47" s="2">
        <v>13145906264442</v>
      </c>
      <c r="E47">
        <v>19733639000000</v>
      </c>
      <c r="F47">
        <v>2682252600000000</v>
      </c>
    </row>
    <row r="48" spans="2:6" x14ac:dyDescent="0.3">
      <c r="B48" s="3" t="s">
        <v>49</v>
      </c>
      <c r="C48">
        <v>5670975240000000</v>
      </c>
      <c r="D48" s="1">
        <v>13250439561527.4</v>
      </c>
      <c r="E48">
        <v>19840154000000</v>
      </c>
      <c r="F48">
        <v>2687143000000000</v>
      </c>
    </row>
    <row r="49" spans="2:6" x14ac:dyDescent="0.3">
      <c r="B49" s="4" t="s">
        <v>50</v>
      </c>
      <c r="C49">
        <v>5760046200000000</v>
      </c>
      <c r="D49" s="2">
        <v>13610340722760.4</v>
      </c>
      <c r="E49">
        <v>20109643000000</v>
      </c>
      <c r="F49">
        <v>2700362400000000</v>
      </c>
    </row>
    <row r="50" spans="2:6" x14ac:dyDescent="0.3">
      <c r="B50" s="3" t="s">
        <v>51</v>
      </c>
      <c r="C50">
        <v>5644985000000000</v>
      </c>
      <c r="D50" s="1">
        <v>13393089687741.699</v>
      </c>
      <c r="E50">
        <v>20116050000000</v>
      </c>
      <c r="F50">
        <v>2712849600000000</v>
      </c>
    </row>
    <row r="51" spans="2:6" x14ac:dyDescent="0.3">
      <c r="B51" s="4" t="s">
        <v>52</v>
      </c>
      <c r="C51">
        <v>5670778000000000</v>
      </c>
      <c r="D51" s="2">
        <v>13483739560499.4</v>
      </c>
      <c r="E51">
        <v>20275685000000</v>
      </c>
      <c r="F51">
        <v>2739656100000000</v>
      </c>
    </row>
    <row r="52" spans="2:6" x14ac:dyDescent="0.3">
      <c r="B52" s="3" t="s">
        <v>53</v>
      </c>
      <c r="C52">
        <v>5747247000000000</v>
      </c>
      <c r="D52" s="1">
        <v>13566985002658.1</v>
      </c>
      <c r="E52">
        <v>20288970000000</v>
      </c>
      <c r="F52">
        <v>2763165200000000</v>
      </c>
    </row>
    <row r="53" spans="2:6" x14ac:dyDescent="0.3">
      <c r="B53" s="4" t="s">
        <v>54</v>
      </c>
      <c r="C53">
        <v>5746732000000000</v>
      </c>
      <c r="D53" s="2">
        <v>13669461228986</v>
      </c>
      <c r="E53">
        <v>20378259000000</v>
      </c>
      <c r="F53">
        <v>2760406600000000</v>
      </c>
    </row>
    <row r="54" spans="2:6" x14ac:dyDescent="0.3">
      <c r="B54" s="3" t="s">
        <v>55</v>
      </c>
      <c r="C54">
        <v>5860509000000000</v>
      </c>
      <c r="D54" s="1">
        <v>13723386394403.199</v>
      </c>
      <c r="E54">
        <v>20305324000000</v>
      </c>
      <c r="F54">
        <v>2773218100000000</v>
      </c>
    </row>
    <row r="55" spans="2:6" x14ac:dyDescent="0.3">
      <c r="B55" s="4" t="s">
        <v>56</v>
      </c>
      <c r="C55">
        <v>5908509000000000</v>
      </c>
      <c r="D55" s="2">
        <v>13786865525492.4</v>
      </c>
      <c r="E55">
        <v>20218762000000</v>
      </c>
      <c r="F55">
        <v>2813932900000000</v>
      </c>
    </row>
    <row r="56" spans="2:6" x14ac:dyDescent="0.3">
      <c r="B56" s="3" t="s">
        <v>57</v>
      </c>
      <c r="C56">
        <v>5941133000000000</v>
      </c>
      <c r="D56" s="1">
        <v>13894967964126.199</v>
      </c>
      <c r="E56">
        <v>20240395000000</v>
      </c>
      <c r="F56">
        <v>2807361700000000</v>
      </c>
    </row>
    <row r="57" spans="2:6" x14ac:dyDescent="0.3">
      <c r="B57" s="4" t="s">
        <v>58</v>
      </c>
      <c r="C57">
        <v>5934562000000000</v>
      </c>
      <c r="D57" s="2">
        <v>13906075002512.5</v>
      </c>
      <c r="E57">
        <v>20338459000000</v>
      </c>
      <c r="F57">
        <v>2848885300000000</v>
      </c>
    </row>
    <row r="58" spans="2:6" x14ac:dyDescent="0.3">
      <c r="B58" s="3" t="s">
        <v>59</v>
      </c>
      <c r="C58">
        <v>6134178000000000</v>
      </c>
      <c r="D58" s="1">
        <v>14025488630292.1</v>
      </c>
      <c r="E58">
        <v>20437342000000</v>
      </c>
      <c r="F58">
        <v>2853964300000000</v>
      </c>
    </row>
    <row r="59" spans="2:6" x14ac:dyDescent="0.3">
      <c r="B59" s="4" t="s">
        <v>60</v>
      </c>
      <c r="C59">
        <v>6026908000000000</v>
      </c>
      <c r="D59" s="2">
        <v>14104165005840.801</v>
      </c>
      <c r="E59">
        <v>20598791000000</v>
      </c>
      <c r="F59">
        <v>2871952200000000</v>
      </c>
    </row>
    <row r="60" spans="2:6" x14ac:dyDescent="0.3">
      <c r="B60" s="3" t="s">
        <v>61</v>
      </c>
      <c r="C60">
        <v>6074377000000000</v>
      </c>
      <c r="D60" s="1">
        <v>14350487457920.699</v>
      </c>
      <c r="E60">
        <v>20702025000000</v>
      </c>
      <c r="F60">
        <v>2917439100000000</v>
      </c>
    </row>
    <row r="61" spans="2:6" x14ac:dyDescent="0.3">
      <c r="B61" s="4" t="s">
        <v>62</v>
      </c>
      <c r="C61">
        <v>6136552000000000</v>
      </c>
      <c r="D61" s="2">
        <v>14950131998323</v>
      </c>
      <c r="E61">
        <v>20841010000000</v>
      </c>
      <c r="F61">
        <v>2913609600000000</v>
      </c>
    </row>
    <row r="62" spans="2:6" x14ac:dyDescent="0.3">
      <c r="B62" s="3" t="s">
        <v>63</v>
      </c>
      <c r="C62">
        <v>6046651000000000</v>
      </c>
      <c r="D62" s="1">
        <v>14828755969660.6</v>
      </c>
      <c r="E62">
        <v>20876298000000</v>
      </c>
      <c r="F62">
        <v>2922453100000000</v>
      </c>
    </row>
    <row r="63" spans="2:6" x14ac:dyDescent="0.3">
      <c r="B63" s="4" t="s">
        <v>64</v>
      </c>
      <c r="C63">
        <v>6116495000000000</v>
      </c>
      <c r="D63" s="2">
        <v>14792992525270.699</v>
      </c>
      <c r="E63">
        <v>20936713000000</v>
      </c>
      <c r="F63">
        <v>2977983500000000</v>
      </c>
    </row>
    <row r="64" spans="2:6" x14ac:dyDescent="0.3">
      <c r="B64" s="3" t="s">
        <v>65</v>
      </c>
      <c r="C64">
        <v>6440457390000000</v>
      </c>
      <c r="D64" s="1">
        <v>15200499108218.1</v>
      </c>
      <c r="E64">
        <v>21859226000000</v>
      </c>
      <c r="F64">
        <v>2986838800000000</v>
      </c>
    </row>
    <row r="65" spans="2:6" x14ac:dyDescent="0.3">
      <c r="B65" s="4" t="s">
        <v>66</v>
      </c>
      <c r="C65">
        <v>6238267000000000</v>
      </c>
      <c r="D65" s="2">
        <v>15652469102699</v>
      </c>
      <c r="E65">
        <v>22288558000000</v>
      </c>
      <c r="F65">
        <v>3011431200000000</v>
      </c>
    </row>
    <row r="66" spans="2:6" x14ac:dyDescent="0.3">
      <c r="B66" s="3" t="s">
        <v>67</v>
      </c>
      <c r="C66">
        <v>6468193500000000</v>
      </c>
      <c r="D66" s="1">
        <v>15770511516642.4</v>
      </c>
      <c r="E66">
        <v>22494529000000</v>
      </c>
      <c r="F66">
        <v>3065842100000000</v>
      </c>
    </row>
    <row r="67" spans="2:6" x14ac:dyDescent="0.3">
      <c r="B67" s="4" t="s">
        <v>68</v>
      </c>
      <c r="C67">
        <v>6393743800000000</v>
      </c>
      <c r="D67" s="2">
        <v>15579872109307.1</v>
      </c>
      <c r="E67">
        <v>22435940000000</v>
      </c>
      <c r="F67">
        <v>3083081900000000</v>
      </c>
    </row>
    <row r="68" spans="2:6" x14ac:dyDescent="0.3">
      <c r="B68" s="3" t="s">
        <v>69</v>
      </c>
      <c r="C68">
        <v>6567725020000000</v>
      </c>
      <c r="D68" s="1">
        <v>15705935493163.6</v>
      </c>
      <c r="E68">
        <v>22552107000000</v>
      </c>
      <c r="F68">
        <v>3083834800000000</v>
      </c>
    </row>
    <row r="69" spans="2:6" x14ac:dyDescent="0.3">
      <c r="B69" s="4" t="s">
        <v>70</v>
      </c>
      <c r="C69">
        <v>6726135250000000</v>
      </c>
      <c r="D69" s="2">
        <v>15598312574818.1</v>
      </c>
      <c r="E69">
        <v>22493305000000</v>
      </c>
      <c r="F69">
        <v>3092225800000000</v>
      </c>
    </row>
    <row r="70" spans="2:6" x14ac:dyDescent="0.3">
      <c r="B70" s="3" t="s">
        <v>71</v>
      </c>
      <c r="C70">
        <v>6748574030000000</v>
      </c>
      <c r="D70" s="1">
        <v>15577274999609.301</v>
      </c>
      <c r="E70">
        <v>22435829000000</v>
      </c>
      <c r="F70">
        <v>3132300800000000</v>
      </c>
    </row>
    <row r="71" spans="2:6" x14ac:dyDescent="0.3">
      <c r="B71" s="4" t="s">
        <v>72</v>
      </c>
      <c r="C71">
        <v>6780844540000000</v>
      </c>
      <c r="D71" s="2">
        <v>15591143496761.199</v>
      </c>
      <c r="E71">
        <v>22522590000000</v>
      </c>
      <c r="F71">
        <v>3162426900000000</v>
      </c>
    </row>
    <row r="72" spans="2:6" x14ac:dyDescent="0.3">
      <c r="B72" s="3" t="s">
        <v>73</v>
      </c>
      <c r="C72">
        <v>6817456680000000</v>
      </c>
      <c r="D72" s="1">
        <v>15720625807152.301</v>
      </c>
      <c r="E72">
        <v>22780346000000</v>
      </c>
      <c r="F72">
        <v>3190796700000000</v>
      </c>
    </row>
    <row r="73" spans="2:6" x14ac:dyDescent="0.3">
      <c r="B73" s="4" t="s">
        <v>74</v>
      </c>
      <c r="C73">
        <v>6900049490000000</v>
      </c>
      <c r="D73" s="2">
        <v>16244474369183.199</v>
      </c>
      <c r="E73">
        <v>22958439000000</v>
      </c>
      <c r="F73">
        <v>3199835700000000</v>
      </c>
    </row>
    <row r="74" spans="2:6" x14ac:dyDescent="0.3">
      <c r="B74" s="3" t="s">
        <v>75</v>
      </c>
      <c r="C74">
        <v>6767407650000000</v>
      </c>
      <c r="D74" s="1">
        <v>15972791123711.5</v>
      </c>
      <c r="E74">
        <v>22915295000000</v>
      </c>
      <c r="F74">
        <v>3232213300000000</v>
      </c>
    </row>
    <row r="75" spans="2:6" x14ac:dyDescent="0.3">
      <c r="B75" s="4" t="s">
        <v>76</v>
      </c>
      <c r="C75">
        <v>6817787910000000</v>
      </c>
      <c r="D75" s="2">
        <v>15993800985877.4</v>
      </c>
      <c r="E75">
        <v>23019908000000</v>
      </c>
      <c r="F75">
        <v>3289214200000000</v>
      </c>
    </row>
    <row r="76" spans="2:6" x14ac:dyDescent="0.3">
      <c r="B76" s="3" t="s">
        <v>77</v>
      </c>
      <c r="C76">
        <v>6895564120000000</v>
      </c>
      <c r="D76" s="1">
        <v>16177288316089.699</v>
      </c>
      <c r="E76">
        <v>23109674000000</v>
      </c>
      <c r="F76">
        <v>3324920800000000</v>
      </c>
    </row>
    <row r="77" spans="2:6" x14ac:dyDescent="0.3">
      <c r="B77" s="4" t="s">
        <v>78</v>
      </c>
      <c r="C77">
        <v>6964386490000000</v>
      </c>
      <c r="D77" s="2">
        <v>16254030789323.6</v>
      </c>
      <c r="E77">
        <v>23239804000000</v>
      </c>
      <c r="F77">
        <v>3343374500000000</v>
      </c>
    </row>
    <row r="78" spans="2:6" x14ac:dyDescent="0.3">
      <c r="B78" s="3" t="s">
        <v>79</v>
      </c>
      <c r="C78">
        <v>7004093080000000</v>
      </c>
      <c r="D78" s="1">
        <v>16316904627593.5</v>
      </c>
      <c r="E78">
        <v>23282599000000</v>
      </c>
      <c r="F78">
        <v>3384519700000000</v>
      </c>
    </row>
    <row r="79" spans="2:6" x14ac:dyDescent="0.3">
      <c r="B79" s="4" t="s">
        <v>80</v>
      </c>
      <c r="C79">
        <v>7130061420000000</v>
      </c>
      <c r="D79" s="2">
        <v>16466371551641.199</v>
      </c>
      <c r="E79">
        <v>23095124000000</v>
      </c>
      <c r="F79">
        <v>3418842800000000</v>
      </c>
    </row>
    <row r="80" spans="2:6" x14ac:dyDescent="0.3">
      <c r="B80" s="3" t="s">
        <v>81</v>
      </c>
      <c r="C80">
        <v>7160560330000000</v>
      </c>
      <c r="D80" s="1">
        <v>16514651929156.6</v>
      </c>
      <c r="E80">
        <v>23266534000000</v>
      </c>
      <c r="F80">
        <v>3439194800000000</v>
      </c>
    </row>
    <row r="81" spans="2:6" x14ac:dyDescent="0.3">
      <c r="B81" s="4" t="s">
        <v>82</v>
      </c>
      <c r="C81">
        <v>7211500720000000</v>
      </c>
      <c r="D81" s="2">
        <v>16591084272515.9</v>
      </c>
      <c r="E81">
        <v>23374555000000</v>
      </c>
      <c r="F81">
        <v>3489987300000000</v>
      </c>
    </row>
    <row r="82" spans="2:6" x14ac:dyDescent="0.3">
      <c r="B82" s="3" t="s">
        <v>83</v>
      </c>
      <c r="C82">
        <v>7300920640000000</v>
      </c>
      <c r="D82" s="1">
        <v>16797019011065.1</v>
      </c>
      <c r="E82">
        <v>23517109000000</v>
      </c>
      <c r="F82">
        <v>3503617500000000</v>
      </c>
    </row>
    <row r="83" spans="2:6" x14ac:dyDescent="0.3">
      <c r="B83" s="4" t="s">
        <v>84</v>
      </c>
      <c r="C83">
        <v>7491704380000000</v>
      </c>
      <c r="D83" s="2">
        <v>16821474917533.301</v>
      </c>
      <c r="E83">
        <v>23728417000000</v>
      </c>
      <c r="F83">
        <v>3563231300000000</v>
      </c>
    </row>
    <row r="84" spans="2:6" x14ac:dyDescent="0.3">
      <c r="B84" s="3" t="s">
        <v>85</v>
      </c>
      <c r="C84">
        <v>7573319900000000</v>
      </c>
      <c r="D84" s="1">
        <v>17004200702089.6</v>
      </c>
      <c r="E84">
        <v>23824363000000</v>
      </c>
      <c r="F84">
        <v>3596418300000000</v>
      </c>
    </row>
    <row r="85" spans="2:6" x14ac:dyDescent="0.3">
      <c r="B85" s="4" t="s">
        <v>86</v>
      </c>
      <c r="C85">
        <v>7870452850000000</v>
      </c>
      <c r="D85" s="2">
        <v>17540827029527.5</v>
      </c>
      <c r="E85">
        <v>24061617000000</v>
      </c>
      <c r="F85">
        <v>3613687600000000</v>
      </c>
    </row>
    <row r="86" spans="2:6" x14ac:dyDescent="0.3">
      <c r="B86" s="3" t="s">
        <v>87</v>
      </c>
      <c r="C86">
        <v>7646789190000000</v>
      </c>
      <c r="D86" s="1">
        <v>17331663186890.199</v>
      </c>
      <c r="E86">
        <v>24089550000000</v>
      </c>
      <c r="F86">
        <v>3629712400000000</v>
      </c>
    </row>
    <row r="87" spans="2:6" x14ac:dyDescent="0.3">
      <c r="B87" s="4" t="s">
        <v>88</v>
      </c>
      <c r="C87">
        <v>7690134500000000</v>
      </c>
      <c r="D87" s="2">
        <v>17388778859059.699</v>
      </c>
      <c r="E87">
        <v>24269541000000</v>
      </c>
      <c r="F87">
        <v>3657117300000000</v>
      </c>
    </row>
    <row r="88" spans="2:6" x14ac:dyDescent="0.3">
      <c r="B88" s="3" t="s">
        <v>89</v>
      </c>
      <c r="C88">
        <v>7810949320000000</v>
      </c>
      <c r="D88" s="1">
        <v>17520171233785.301</v>
      </c>
      <c r="E88">
        <v>24559711000000</v>
      </c>
      <c r="F88">
        <v>3652818700000000</v>
      </c>
    </row>
    <row r="89" spans="2:6" x14ac:dyDescent="0.3">
      <c r="B89" s="4" t="s">
        <v>90</v>
      </c>
      <c r="C89">
        <v>7911484490000000</v>
      </c>
      <c r="D89" s="2">
        <v>17545314032113.9</v>
      </c>
      <c r="E89">
        <v>24633637000000</v>
      </c>
      <c r="F89">
        <v>3675692300000000</v>
      </c>
    </row>
    <row r="90" spans="2:6" x14ac:dyDescent="0.3">
      <c r="B90" s="3" t="s">
        <v>91</v>
      </c>
      <c r="C90">
        <v>7854186710000000</v>
      </c>
      <c r="D90" s="1">
        <v>17568462475650.1</v>
      </c>
      <c r="E90">
        <v>24636314000000</v>
      </c>
      <c r="F90">
        <v>3704465700000000</v>
      </c>
    </row>
    <row r="91" spans="2:6" x14ac:dyDescent="0.3">
      <c r="B91" s="4" t="s">
        <v>92</v>
      </c>
      <c r="C91">
        <v>7890747010000000</v>
      </c>
      <c r="D91" s="2">
        <v>17832038772111.699</v>
      </c>
      <c r="E91">
        <v>24545875000000</v>
      </c>
      <c r="F91">
        <v>3712838400000000</v>
      </c>
    </row>
    <row r="92" spans="2:6" x14ac:dyDescent="0.3">
      <c r="B92" s="3" t="s">
        <v>93</v>
      </c>
      <c r="C92">
        <v>7845551910000000</v>
      </c>
      <c r="D92" s="1">
        <v>17815345947523.602</v>
      </c>
      <c r="E92">
        <v>24521365000000</v>
      </c>
      <c r="F92">
        <v>3727679900000000</v>
      </c>
    </row>
    <row r="93" spans="2:6" x14ac:dyDescent="0.3">
      <c r="B93" s="4" t="s">
        <v>94</v>
      </c>
      <c r="C93">
        <v>7897628210000000</v>
      </c>
      <c r="D93" s="2">
        <v>17844756483418.602</v>
      </c>
      <c r="E93">
        <v>24593045000000</v>
      </c>
      <c r="F93">
        <v>3737384800000000</v>
      </c>
    </row>
    <row r="94" spans="2:6" x14ac:dyDescent="0.3">
      <c r="B94" s="3" t="s">
        <v>95</v>
      </c>
      <c r="C94">
        <v>7962693360000000</v>
      </c>
      <c r="D94" s="1">
        <v>17936614220285.199</v>
      </c>
      <c r="E94">
        <v>24590623000000</v>
      </c>
      <c r="F94">
        <v>3747840600000000</v>
      </c>
    </row>
    <row r="95" spans="2:6" x14ac:dyDescent="0.3">
      <c r="B95" s="4" t="s">
        <v>96</v>
      </c>
      <c r="C95">
        <v>8223055020000000</v>
      </c>
      <c r="D95" s="2">
        <v>18027212179416.398</v>
      </c>
      <c r="E95">
        <v>24728608000000</v>
      </c>
      <c r="F95">
        <v>3769959800000000</v>
      </c>
    </row>
    <row r="96" spans="2:6" x14ac:dyDescent="0.3">
      <c r="B96" s="3" t="s">
        <v>97</v>
      </c>
      <c r="C96">
        <v>8297349510000000</v>
      </c>
      <c r="D96" s="1">
        <v>18224764859059.5</v>
      </c>
      <c r="E96">
        <v>24956718000000</v>
      </c>
      <c r="F96">
        <v>3798048000000000</v>
      </c>
    </row>
    <row r="97" spans="2:6" x14ac:dyDescent="0.3">
      <c r="B97" s="4" t="s">
        <v>98</v>
      </c>
      <c r="C97">
        <v>8528022310000001</v>
      </c>
      <c r="D97" s="2">
        <v>18912579208619.301</v>
      </c>
      <c r="E97">
        <v>25001879000000</v>
      </c>
      <c r="F97">
        <v>3758235500000000</v>
      </c>
    </row>
    <row r="98" spans="2:6" x14ac:dyDescent="0.3">
      <c r="B98" s="3" t="s">
        <v>99</v>
      </c>
      <c r="C98">
        <v>8271838100000000</v>
      </c>
      <c r="D98" s="1">
        <v>18517693415217.199</v>
      </c>
      <c r="E98">
        <v>24975379000000</v>
      </c>
      <c r="F98">
        <v>3769805300000000</v>
      </c>
    </row>
    <row r="99" spans="2:6" x14ac:dyDescent="0.3">
      <c r="B99" s="4" t="s">
        <v>100</v>
      </c>
      <c r="C99">
        <v>8300648370000000</v>
      </c>
      <c r="D99" s="2">
        <v>18629610994979.301</v>
      </c>
      <c r="E99">
        <v>25122900000000</v>
      </c>
      <c r="F99">
        <v>3802203100000000</v>
      </c>
    </row>
    <row r="100" spans="2:6" x14ac:dyDescent="0.3">
      <c r="B100" s="3" t="s">
        <v>101</v>
      </c>
      <c r="C100">
        <v>8293283230000000</v>
      </c>
      <c r="D100" s="1">
        <v>18725752846181.699</v>
      </c>
      <c r="E100">
        <v>25234947000000</v>
      </c>
      <c r="F100">
        <v>3776930100000000</v>
      </c>
    </row>
    <row r="101" spans="2:6" x14ac:dyDescent="0.3">
      <c r="B101" s="4" t="s">
        <v>102</v>
      </c>
      <c r="C101">
        <v>8352349680000000</v>
      </c>
      <c r="D101" s="2">
        <v>18818468448074.801</v>
      </c>
      <c r="E101">
        <v>25199189000000</v>
      </c>
      <c r="F101">
        <v>3773397200000000</v>
      </c>
    </row>
    <row r="102" spans="2:6" x14ac:dyDescent="0.3">
      <c r="B102" s="3" t="s">
        <v>103</v>
      </c>
      <c r="C102">
        <v>8336170790000000</v>
      </c>
      <c r="D102" s="1">
        <v>18868469944645.398</v>
      </c>
      <c r="E102">
        <v>25093785000000</v>
      </c>
      <c r="F102">
        <v>3777762100000000</v>
      </c>
    </row>
    <row r="103" spans="2:6" x14ac:dyDescent="0.3">
      <c r="B103" s="4" t="s">
        <v>104</v>
      </c>
      <c r="C103">
        <v>8372990320000000</v>
      </c>
      <c r="D103" s="2">
        <v>18927784018162.398</v>
      </c>
      <c r="E103">
        <v>24973778000000</v>
      </c>
      <c r="F103">
        <v>3808194200000000</v>
      </c>
    </row>
    <row r="104" spans="2:6" x14ac:dyDescent="0.3">
      <c r="B104" s="3" t="s">
        <v>105</v>
      </c>
      <c r="C104">
        <v>8349492320000000</v>
      </c>
      <c r="D104" s="1">
        <v>18844889190464.898</v>
      </c>
      <c r="E104">
        <v>24919069000000</v>
      </c>
      <c r="F104">
        <v>3788167900000000</v>
      </c>
    </row>
    <row r="105" spans="2:6" x14ac:dyDescent="0.3">
      <c r="B105" s="4" t="s">
        <v>106</v>
      </c>
      <c r="C105">
        <v>8364739000000000</v>
      </c>
      <c r="D105" s="2">
        <v>19178663229678</v>
      </c>
      <c r="E105">
        <v>24907324000000</v>
      </c>
      <c r="F105">
        <v>3824418800000000</v>
      </c>
    </row>
    <row r="106" spans="2:6" x14ac:dyDescent="0.3">
      <c r="B106" s="3" t="s">
        <v>107</v>
      </c>
      <c r="C106">
        <v>8441236439999999</v>
      </c>
      <c r="D106" s="1">
        <v>19382987079473.301</v>
      </c>
      <c r="E106">
        <v>25029515000000</v>
      </c>
      <c r="F106">
        <v>3839468600000000</v>
      </c>
    </row>
    <row r="107" spans="2:6" x14ac:dyDescent="0.3">
      <c r="B107" s="3" t="s">
        <v>108</v>
      </c>
      <c r="C107">
        <v>8506544060000001</v>
      </c>
      <c r="E107">
        <v>25156438000000</v>
      </c>
      <c r="F107">
        <v>3853614200000000</v>
      </c>
    </row>
    <row r="108" spans="2:6" x14ac:dyDescent="0.3">
      <c r="B108" s="4" t="s">
        <v>109</v>
      </c>
      <c r="C108">
        <v>8574917100000000</v>
      </c>
      <c r="E108">
        <v>25324709000000</v>
      </c>
      <c r="F108">
        <v>3906680700000000</v>
      </c>
    </row>
    <row r="109" spans="2:6" x14ac:dyDescent="0.3">
      <c r="B109" s="3" t="s">
        <v>110</v>
      </c>
      <c r="C109">
        <v>8826531000000000</v>
      </c>
      <c r="E109">
        <v>25481698000000</v>
      </c>
      <c r="F109">
        <v>3904552600000000</v>
      </c>
    </row>
    <row r="110" spans="2:6" x14ac:dyDescent="0.3">
      <c r="B110" s="5" t="s">
        <v>111</v>
      </c>
      <c r="C110">
        <v>8721949689999999</v>
      </c>
      <c r="E110">
        <v>25558611000000</v>
      </c>
      <c r="F110">
        <v>3903018500000000</v>
      </c>
    </row>
    <row r="111" spans="2:6" x14ac:dyDescent="0.3">
      <c r="B111" s="5" t="s">
        <v>112</v>
      </c>
      <c r="C111">
        <v>8739574289999999</v>
      </c>
      <c r="E111">
        <v>25763937000000</v>
      </c>
      <c r="F111">
        <v>3967852000000000</v>
      </c>
    </row>
    <row r="112" spans="2:6" x14ac:dyDescent="0.3">
      <c r="B112" s="5" t="s">
        <v>113</v>
      </c>
      <c r="C112">
        <v>8891424619999999</v>
      </c>
      <c r="E112">
        <v>25863230000000</v>
      </c>
      <c r="F112">
        <v>4014175200000000</v>
      </c>
    </row>
    <row r="113" spans="2:6" x14ac:dyDescent="0.3">
      <c r="B113" s="5" t="s">
        <v>114</v>
      </c>
      <c r="C113">
        <v>8926465560000001</v>
      </c>
      <c r="E113">
        <v>25857034000000</v>
      </c>
      <c r="F113">
        <v>3971094300000000</v>
      </c>
    </row>
    <row r="114" spans="2:6" x14ac:dyDescent="0.3">
      <c r="B114" s="5" t="s">
        <v>115</v>
      </c>
      <c r="C114">
        <v>8968821109999999</v>
      </c>
      <c r="E114">
        <v>25863207000000</v>
      </c>
      <c r="F114">
        <v>4009360800000000</v>
      </c>
    </row>
    <row r="115" spans="2:6" x14ac:dyDescent="0.3">
      <c r="B115" s="5" t="s">
        <v>116</v>
      </c>
      <c r="C115">
        <v>9015355050000000</v>
      </c>
      <c r="E115">
        <v>25718898000000</v>
      </c>
      <c r="F115">
        <v>4040147100000000</v>
      </c>
    </row>
    <row r="116" spans="2:6" x14ac:dyDescent="0.3">
      <c r="B116" s="5" t="s">
        <v>117</v>
      </c>
      <c r="C116">
        <v>8983383350000000</v>
      </c>
      <c r="E116">
        <v>25715191000000</v>
      </c>
      <c r="F116">
        <v>4042364700000000</v>
      </c>
    </row>
    <row r="117" spans="2:6" x14ac:dyDescent="0.3">
      <c r="B117" s="5" t="s">
        <v>120</v>
      </c>
      <c r="C117">
        <v>8975511859999999</v>
      </c>
      <c r="E117">
        <v>25575536000000</v>
      </c>
      <c r="F117">
        <v>4072330600000000</v>
      </c>
    </row>
    <row r="118" spans="2:6" x14ac:dyDescent="0.3">
      <c r="B118" s="5" t="s">
        <v>121</v>
      </c>
      <c r="C118">
        <v>9047998700000000</v>
      </c>
      <c r="E118">
        <v>25792182000000</v>
      </c>
      <c r="F118">
        <v>4076483000000000</v>
      </c>
    </row>
    <row r="119" spans="2:6" x14ac:dyDescent="0.3">
      <c r="B119" s="5" t="s">
        <v>122</v>
      </c>
      <c r="C119">
        <v>9082755110000000</v>
      </c>
      <c r="E119">
        <v>26193942000000</v>
      </c>
      <c r="F119">
        <v>4117633700000000</v>
      </c>
    </row>
    <row r="120" spans="2:6" x14ac:dyDescent="0.3">
      <c r="B120" s="5" t="s">
        <v>123</v>
      </c>
      <c r="C120">
        <v>9175750660000000</v>
      </c>
      <c r="E120">
        <v>26280819000000</v>
      </c>
      <c r="F120">
        <v>4157642500000000</v>
      </c>
    </row>
    <row r="121" spans="2:6" x14ac:dyDescent="0.3">
      <c r="B121" s="5" t="s">
        <v>124</v>
      </c>
      <c r="C121">
        <v>9210815720000000</v>
      </c>
      <c r="E121">
        <v>26341306000000</v>
      </c>
      <c r="F121">
        <v>4160355800000000</v>
      </c>
    </row>
    <row r="122" spans="2:6" x14ac:dyDescent="0.3">
      <c r="B122" s="5" t="s">
        <v>125</v>
      </c>
      <c r="C122">
        <v>9198352340000000</v>
      </c>
      <c r="E122">
        <v>26491160000000</v>
      </c>
      <c r="F122">
        <v>4178654900000000</v>
      </c>
    </row>
    <row r="123" spans="2:6" x14ac:dyDescent="0.3">
      <c r="B123" s="5" t="s">
        <v>126</v>
      </c>
      <c r="C123">
        <v>9281079290000000</v>
      </c>
      <c r="E123">
        <v>26595277000000</v>
      </c>
      <c r="F123">
        <v>4220066599999999.5</v>
      </c>
    </row>
    <row r="124" spans="2:6" x14ac:dyDescent="0.3">
      <c r="B124" s="5" t="s">
        <v>127</v>
      </c>
      <c r="C124">
        <v>9436700450000000</v>
      </c>
      <c r="E124">
        <v>26653295000000</v>
      </c>
      <c r="F124">
        <v>4228094099999999.5</v>
      </c>
    </row>
    <row r="125" spans="2:6" x14ac:dyDescent="0.3">
      <c r="B125" s="5" t="s">
        <v>128</v>
      </c>
      <c r="C125">
        <v>9387895190000000</v>
      </c>
      <c r="E125">
        <v>26609618000000</v>
      </c>
      <c r="F125">
        <v>4228391900000000.5</v>
      </c>
    </row>
    <row r="126" spans="2:6" x14ac:dyDescent="0.3">
      <c r="B126" s="5" t="s">
        <v>129</v>
      </c>
      <c r="C126">
        <v>9404299890000000</v>
      </c>
      <c r="E126">
        <v>26657186000000</v>
      </c>
      <c r="F126">
        <v>4281047599999999.5</v>
      </c>
    </row>
    <row r="127" spans="2:6" x14ac:dyDescent="0.3">
      <c r="B127" s="5" t="s">
        <v>130</v>
      </c>
      <c r="C127">
        <v>9595253600000000</v>
      </c>
      <c r="E127">
        <v>26545466000000</v>
      </c>
      <c r="F127">
        <v>4313364800000000</v>
      </c>
    </row>
    <row r="128" spans="2:6" x14ac:dyDescent="0.3">
      <c r="B128" s="5" t="s">
        <v>131</v>
      </c>
      <c r="C128">
        <v>9569710380000000</v>
      </c>
      <c r="E128">
        <v>26659237000000</v>
      </c>
      <c r="F128">
        <v>4356000700000000</v>
      </c>
    </row>
    <row r="129" spans="2:6" x14ac:dyDescent="0.3">
      <c r="B129" s="5" t="s">
        <v>132</v>
      </c>
      <c r="E129">
        <v>26721820000000</v>
      </c>
      <c r="F129">
        <v>4417757200000000</v>
      </c>
    </row>
    <row r="130" spans="2:6" x14ac:dyDescent="0.3">
      <c r="B130" s="5" t="s">
        <v>133</v>
      </c>
      <c r="E130">
        <v>26829289000000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6B58-9834-45BD-9ED8-9FB1B748DE87}">
  <dimension ref="B1:Y130"/>
  <sheetViews>
    <sheetView tabSelected="1" topLeftCell="C1" workbookViewId="0">
      <selection activeCell="W14" sqref="W14"/>
    </sheetView>
  </sheetViews>
  <sheetFormatPr defaultRowHeight="14.4" x14ac:dyDescent="0.3"/>
  <sheetData>
    <row r="1" spans="2:25" x14ac:dyDescent="0.3">
      <c r="B1" t="s">
        <v>1</v>
      </c>
      <c r="C1" t="s">
        <v>0</v>
      </c>
      <c r="D1" t="s">
        <v>2</v>
      </c>
      <c r="E1" t="s">
        <v>118</v>
      </c>
      <c r="F1" t="s">
        <v>119</v>
      </c>
    </row>
    <row r="2" spans="2:25" x14ac:dyDescent="0.3">
      <c r="B2" s="3" t="s">
        <v>3</v>
      </c>
      <c r="C2">
        <f>'M2'!C2/'M2'!C$2</f>
        <v>1</v>
      </c>
      <c r="D2">
        <f>'M2'!D2/'M2'!D$2</f>
        <v>1</v>
      </c>
      <c r="E2">
        <f>'M2'!E2/'M2'!E$2</f>
        <v>1</v>
      </c>
      <c r="F2">
        <f>'M2'!F2/'M2'!F$2</f>
        <v>1</v>
      </c>
    </row>
    <row r="3" spans="2:25" x14ac:dyDescent="0.3">
      <c r="B3" s="4" t="s">
        <v>4</v>
      </c>
      <c r="C3">
        <f>'M2'!C3/'M2'!C$2</f>
        <v>1.0103709354433896</v>
      </c>
      <c r="D3">
        <f>'M2'!D3/'M2'!D$2</f>
        <v>1.0062405213041792</v>
      </c>
      <c r="E3">
        <f>'M2'!E3/'M2'!E$2</f>
        <v>1.0098133057408358</v>
      </c>
      <c r="F3">
        <f>'M2'!F3/'M2'!F$2</f>
        <v>1.011505686270235</v>
      </c>
      <c r="V3" t="s">
        <v>0</v>
      </c>
      <c r="W3" t="s">
        <v>2</v>
      </c>
      <c r="X3" t="s">
        <v>118</v>
      </c>
      <c r="Y3" t="s">
        <v>119</v>
      </c>
    </row>
    <row r="4" spans="2:25" x14ac:dyDescent="0.3">
      <c r="B4" s="3" t="s">
        <v>5</v>
      </c>
      <c r="C4">
        <f>'M2'!C4/'M2'!C$2</f>
        <v>1.0171349132974985</v>
      </c>
      <c r="D4">
        <f>'M2'!D4/'M2'!D$2</f>
        <v>1.019601851577296</v>
      </c>
      <c r="E4">
        <f>'M2'!E4/'M2'!E$2</f>
        <v>1.0144859432030562</v>
      </c>
      <c r="F4">
        <f>'M2'!F4/'M2'!F$2</f>
        <v>1.0151493778045713</v>
      </c>
      <c r="U4" t="s">
        <v>134</v>
      </c>
      <c r="V4">
        <f>MIN(C2:C130)</f>
        <v>1</v>
      </c>
      <c r="W4">
        <f t="shared" ref="W4:Y4" si="0">MIN(D2:D130)</f>
        <v>1</v>
      </c>
      <c r="X4">
        <f t="shared" si="0"/>
        <v>1</v>
      </c>
      <c r="Y4">
        <f t="shared" si="0"/>
        <v>1</v>
      </c>
    </row>
    <row r="5" spans="2:25" x14ac:dyDescent="0.3">
      <c r="B5" s="4" t="s">
        <v>6</v>
      </c>
      <c r="C5">
        <f>'M2'!C5/'M2'!C$2</f>
        <v>1.0241651274028813</v>
      </c>
      <c r="D5">
        <f>'M2'!D5/'M2'!D$2</f>
        <v>1.0160502787941692</v>
      </c>
      <c r="E5">
        <f>'M2'!E5/'M2'!E$2</f>
        <v>1.0129146884615299</v>
      </c>
      <c r="F5">
        <f>'M2'!F5/'M2'!F$2</f>
        <v>1.0239619982517876</v>
      </c>
      <c r="U5" t="s">
        <v>135</v>
      </c>
      <c r="V5">
        <f>MAX(C2:C130)</f>
        <v>2.2983601728197574</v>
      </c>
      <c r="W5">
        <f t="shared" ref="W5:Y5" si="1">MAX(D2:D130)</f>
        <v>2.1942698506126619</v>
      </c>
      <c r="X5">
        <f t="shared" si="1"/>
        <v>1.5830728736726294</v>
      </c>
      <c r="Y5">
        <f t="shared" si="1"/>
        <v>2.1075091989150074</v>
      </c>
    </row>
    <row r="6" spans="2:25" x14ac:dyDescent="0.3">
      <c r="B6" s="3" t="s">
        <v>7</v>
      </c>
      <c r="C6">
        <f>'M2'!C6/'M2'!C$2</f>
        <v>1.027197146048181</v>
      </c>
      <c r="D6">
        <f>'M2'!D6/'M2'!D$2</f>
        <v>1.0169088954759584</v>
      </c>
      <c r="E6">
        <f>'M2'!E6/'M2'!E$2</f>
        <v>1.0143561313276062</v>
      </c>
      <c r="F6">
        <f>'M2'!F6/'M2'!F$2</f>
        <v>1.0378585842761154</v>
      </c>
      <c r="U6" t="s">
        <v>136</v>
      </c>
      <c r="V6">
        <f>AVERAGE(C2:C130)</f>
        <v>1.5885878283773684</v>
      </c>
      <c r="W6">
        <f t="shared" ref="W6:Y6" si="2">AVERAGE(D2:D130)</f>
        <v>1.5805900565558861</v>
      </c>
      <c r="X6">
        <f t="shared" si="2"/>
        <v>1.2889150115695995</v>
      </c>
      <c r="Y6">
        <f t="shared" si="2"/>
        <v>1.4929624076775081</v>
      </c>
    </row>
    <row r="7" spans="2:25" x14ac:dyDescent="0.3">
      <c r="B7" s="4" t="s">
        <v>8</v>
      </c>
      <c r="C7">
        <f>'M2'!C7/'M2'!C$2</f>
        <v>1.0440678495262092</v>
      </c>
      <c r="D7">
        <f>'M2'!D7/'M2'!D$2</f>
        <v>1.0331438510485831</v>
      </c>
      <c r="E7">
        <f>'M2'!E7/'M2'!E$2</f>
        <v>1.0092214225941818</v>
      </c>
      <c r="F7">
        <f>'M2'!F7/'M2'!F$2</f>
        <v>1.045514682461101</v>
      </c>
      <c r="U7" t="s">
        <v>137</v>
      </c>
      <c r="V7">
        <f>_xlfn.STDEV.S(C2:C130)</f>
        <v>0.39468013944700725</v>
      </c>
      <c r="W7">
        <f t="shared" ref="W7:Y7" si="3">_xlfn.STDEV.S(D2:D130)</f>
        <v>0.35528935755294716</v>
      </c>
      <c r="X7">
        <f t="shared" si="3"/>
        <v>0.18967204342781116</v>
      </c>
      <c r="Y7">
        <f t="shared" si="3"/>
        <v>0.32686519782049395</v>
      </c>
    </row>
    <row r="8" spans="2:25" x14ac:dyDescent="0.3">
      <c r="B8" s="3" t="s">
        <v>9</v>
      </c>
      <c r="C8">
        <f>'M2'!C8/'M2'!C$2</f>
        <v>1.0475186736588975</v>
      </c>
      <c r="D8">
        <f>'M2'!D8/'M2'!D$2</f>
        <v>1.0361033042316599</v>
      </c>
      <c r="E8">
        <f>'M2'!E8/'M2'!E$2</f>
        <v>1.0073167873543407</v>
      </c>
      <c r="F8">
        <f>'M2'!F8/'M2'!F$2</f>
        <v>1.0480567129550673</v>
      </c>
      <c r="U8" t="s">
        <v>138</v>
      </c>
      <c r="V8">
        <f>V7/V6</f>
        <v>0.24844716319534277</v>
      </c>
      <c r="W8">
        <f t="shared" ref="W8:Y8" si="4">W7/W6</f>
        <v>0.22478273609232016</v>
      </c>
      <c r="X8">
        <f t="shared" si="4"/>
        <v>0.14715636153297229</v>
      </c>
      <c r="Y8">
        <f t="shared" si="4"/>
        <v>0.21893732631150045</v>
      </c>
    </row>
    <row r="9" spans="2:25" x14ac:dyDescent="0.3">
      <c r="B9" s="4" t="s">
        <v>10</v>
      </c>
      <c r="C9">
        <f>'M2'!C9/'M2'!C$2</f>
        <v>1.0549146539142755</v>
      </c>
      <c r="D9">
        <f>'M2'!D9/'M2'!D$2</f>
        <v>1.0457648353727484</v>
      </c>
      <c r="E9">
        <f>'M2'!E9/'M2'!E$2</f>
        <v>1.004727335466103</v>
      </c>
      <c r="F9">
        <f>'M2'!F9/'M2'!F$2</f>
        <v>1.0583314088175724</v>
      </c>
    </row>
    <row r="10" spans="2:25" x14ac:dyDescent="0.3">
      <c r="B10" s="3" t="s">
        <v>11</v>
      </c>
      <c r="C10">
        <f>'M2'!C10/'M2'!C$2</f>
        <v>1.0799499828724595</v>
      </c>
      <c r="D10">
        <f>'M2'!D10/'M2'!D$2</f>
        <v>1.056695454579202</v>
      </c>
      <c r="E10">
        <f>'M2'!E10/'M2'!E$2</f>
        <v>1.0078240567603605</v>
      </c>
      <c r="F10">
        <f>'M2'!F10/'M2'!F$2</f>
        <v>1.0594084061608102</v>
      </c>
    </row>
    <row r="11" spans="2:25" x14ac:dyDescent="0.3">
      <c r="B11" s="4" t="s">
        <v>12</v>
      </c>
      <c r="C11">
        <f>'M2'!C11/'M2'!C$2</f>
        <v>1.0642546960718657</v>
      </c>
      <c r="D11">
        <f>'M2'!D11/'M2'!D$2</f>
        <v>1.0644508761792617</v>
      </c>
      <c r="E11">
        <f>'M2'!E11/'M2'!E$2</f>
        <v>1.0149523808737071</v>
      </c>
      <c r="F11">
        <f>'M2'!F11/'M2'!F$2</f>
        <v>1.0685528654421674</v>
      </c>
    </row>
    <row r="12" spans="2:25" x14ac:dyDescent="0.3">
      <c r="B12" s="3" t="s">
        <v>13</v>
      </c>
      <c r="C12">
        <f>'M2'!C12/'M2'!C$2</f>
        <v>1.0664695357320901</v>
      </c>
      <c r="D12">
        <f>'M2'!D12/'M2'!D$2</f>
        <v>1.0778121392623858</v>
      </c>
      <c r="E12">
        <f>'M2'!E12/'M2'!E$2</f>
        <v>1.0240156690014315</v>
      </c>
      <c r="F12">
        <f>'M2'!F12/'M2'!F$2</f>
        <v>1.0682538479303223</v>
      </c>
    </row>
    <row r="13" spans="2:25" x14ac:dyDescent="0.3">
      <c r="B13" s="4" t="s">
        <v>14</v>
      </c>
      <c r="C13">
        <f>'M2'!C13/'M2'!C$2</f>
        <v>1.0895784322656941</v>
      </c>
      <c r="D13">
        <f>'M2'!D13/'M2'!D$2</f>
        <v>1.1194618351534351</v>
      </c>
      <c r="E13">
        <f>'M2'!E13/'M2'!E$2</f>
        <v>1.035817928695753</v>
      </c>
      <c r="F13">
        <f>'M2'!F13/'M2'!F$2</f>
        <v>1.0721194650334369</v>
      </c>
    </row>
    <row r="14" spans="2:25" x14ac:dyDescent="0.3">
      <c r="B14" s="3" t="s">
        <v>15</v>
      </c>
      <c r="C14">
        <f>'M2'!C14/'M2'!C$2</f>
        <v>1.0774967332709691</v>
      </c>
      <c r="D14">
        <f>'M2'!D14/'M2'!D$2</f>
        <v>1.1172450000884486</v>
      </c>
      <c r="E14">
        <f>'M2'!E14/'M2'!E$2</f>
        <v>1.040206101134544</v>
      </c>
      <c r="F14">
        <f>'M2'!F14/'M2'!F$2</f>
        <v>1.083665176142925</v>
      </c>
    </row>
    <row r="15" spans="2:25" x14ac:dyDescent="0.3">
      <c r="B15" s="4" t="s">
        <v>16</v>
      </c>
      <c r="C15">
        <f>'M2'!C15/'M2'!C$2</f>
        <v>1.0831472491268503</v>
      </c>
      <c r="D15">
        <f>'M2'!D15/'M2'!D$2</f>
        <v>1.1228119347106429</v>
      </c>
      <c r="E15">
        <f>'M2'!E15/'M2'!E$2</f>
        <v>1.0472598424249047</v>
      </c>
      <c r="F15">
        <f>'M2'!F15/'M2'!F$2</f>
        <v>1.090405616682353</v>
      </c>
    </row>
    <row r="16" spans="2:25" x14ac:dyDescent="0.3">
      <c r="B16" s="3" t="s">
        <v>17</v>
      </c>
      <c r="C16">
        <f>'M2'!C16/'M2'!C$2</f>
        <v>1.0927096406757713</v>
      </c>
      <c r="D16">
        <f>'M2'!D16/'M2'!D$2</f>
        <v>1.136340264374585</v>
      </c>
      <c r="E16">
        <f>'M2'!E16/'M2'!E$2</f>
        <v>1.0515690656412631</v>
      </c>
      <c r="F16">
        <f>'M2'!F16/'M2'!F$2</f>
        <v>1.095539672940294</v>
      </c>
    </row>
    <row r="17" spans="2:6" x14ac:dyDescent="0.3">
      <c r="B17" s="4" t="s">
        <v>18</v>
      </c>
      <c r="C17">
        <f>'M2'!C17/'M2'!C$2</f>
        <v>1.0975015410882127</v>
      </c>
      <c r="D17">
        <f>'M2'!D17/'M2'!D$2</f>
        <v>1.1414892021260061</v>
      </c>
      <c r="E17">
        <f>'M2'!E17/'M2'!E$2</f>
        <v>1.0563711609465458</v>
      </c>
      <c r="F17">
        <f>'M2'!F17/'M2'!F$2</f>
        <v>1.0950051815231412</v>
      </c>
    </row>
    <row r="18" spans="2:6" x14ac:dyDescent="0.3">
      <c r="B18" s="3" t="s">
        <v>19</v>
      </c>
      <c r="C18">
        <f>'M2'!C18/'M2'!C$2</f>
        <v>1.1052105930807543</v>
      </c>
      <c r="D18">
        <f>'M2'!D18/'M2'!D$2</f>
        <v>1.1522184256668635</v>
      </c>
      <c r="E18">
        <f>'M2'!E18/'M2'!E$2</f>
        <v>1.0517893327917425</v>
      </c>
      <c r="F18">
        <f>'M2'!F18/'M2'!F$2</f>
        <v>1.1055249400784268</v>
      </c>
    </row>
    <row r="19" spans="2:6" x14ac:dyDescent="0.3">
      <c r="B19" s="4" t="s">
        <v>20</v>
      </c>
      <c r="C19">
        <f>'M2'!C19/'M2'!C$2</f>
        <v>1.1347661751960334</v>
      </c>
      <c r="D19">
        <f>'M2'!D19/'M2'!D$2</f>
        <v>1.1600818819628824</v>
      </c>
      <c r="E19">
        <f>'M2'!E19/'M2'!E$2</f>
        <v>1.0525483192253393</v>
      </c>
      <c r="F19">
        <f>'M2'!F19/'M2'!F$2</f>
        <v>1.1151430186733764</v>
      </c>
    </row>
    <row r="20" spans="2:6" x14ac:dyDescent="0.3">
      <c r="B20" s="3" t="s">
        <v>21</v>
      </c>
      <c r="C20">
        <f>'M2'!C20/'M2'!C$2</f>
        <v>1.1330723201341826</v>
      </c>
      <c r="D20">
        <f>'M2'!D20/'M2'!D$2</f>
        <v>1.164536310823806</v>
      </c>
      <c r="E20">
        <f>'M2'!E20/'M2'!E$2</f>
        <v>1.0503448806503717</v>
      </c>
      <c r="F20">
        <f>'M2'!F20/'M2'!F$2</f>
        <v>1.127282375908806</v>
      </c>
    </row>
    <row r="21" spans="2:6" x14ac:dyDescent="0.3">
      <c r="B21" s="4" t="s">
        <v>22</v>
      </c>
      <c r="C21">
        <f>'M2'!C21/'M2'!C$2</f>
        <v>1.1368202608477151</v>
      </c>
      <c r="D21">
        <f>'M2'!D21/'M2'!D$2</f>
        <v>1.1610909254425614</v>
      </c>
      <c r="E21">
        <f>'M2'!E21/'M2'!E$2</f>
        <v>1.0486877140494566</v>
      </c>
      <c r="F21">
        <f>'M2'!F21/'M2'!F$2</f>
        <v>1.1357999860986434</v>
      </c>
    </row>
    <row r="22" spans="2:6" x14ac:dyDescent="0.3">
      <c r="B22" s="3" t="s">
        <v>23</v>
      </c>
      <c r="C22">
        <f>'M2'!C22/'M2'!C$2</f>
        <v>1.1348091781867857</v>
      </c>
      <c r="D22">
        <f>'M2'!D22/'M2'!D$2</f>
        <v>1.1828625814323472</v>
      </c>
      <c r="E22">
        <f>'M2'!E22/'M2'!E$2</f>
        <v>1.0482632882221332</v>
      </c>
      <c r="F22">
        <f>'M2'!F22/'M2'!F$2</f>
        <v>1.1354865138474732</v>
      </c>
    </row>
    <row r="23" spans="2:6" x14ac:dyDescent="0.3">
      <c r="B23" s="4" t="s">
        <v>24</v>
      </c>
      <c r="C23">
        <f>'M2'!C23/'M2'!C$2</f>
        <v>1.1445935694118561</v>
      </c>
      <c r="D23">
        <f>'M2'!D23/'M2'!D$2</f>
        <v>1.1919396762051675</v>
      </c>
      <c r="E23">
        <f>'M2'!E23/'M2'!E$2</f>
        <v>1.0612890248425706</v>
      </c>
      <c r="F23">
        <f>'M2'!F23/'M2'!F$2</f>
        <v>1.1416753844328564</v>
      </c>
    </row>
    <row r="24" spans="2:6" x14ac:dyDescent="0.3">
      <c r="B24" s="3" t="s">
        <v>25</v>
      </c>
      <c r="C24">
        <f>'M2'!C24/'M2'!C$2</f>
        <v>1.1661926185563987</v>
      </c>
      <c r="D24">
        <f>'M2'!D24/'M2'!D$2</f>
        <v>1.218442392812948</v>
      </c>
      <c r="E24">
        <f>'M2'!E24/'M2'!E$2</f>
        <v>1.0688603024781913</v>
      </c>
      <c r="F24">
        <f>'M2'!F24/'M2'!F$2</f>
        <v>1.1470414798065622</v>
      </c>
    </row>
    <row r="25" spans="2:6" x14ac:dyDescent="0.3">
      <c r="B25" s="4" t="s">
        <v>26</v>
      </c>
      <c r="C25">
        <f>'M2'!C25/'M2'!C$2</f>
        <v>1.1988468256871578</v>
      </c>
      <c r="D25">
        <f>'M2'!D25/'M2'!D$2</f>
        <v>1.2686443758151791</v>
      </c>
      <c r="E25">
        <f>'M2'!E25/'M2'!E$2</f>
        <v>1.0795479502055807</v>
      </c>
      <c r="F25">
        <f>'M2'!F25/'M2'!F$2</f>
        <v>1.1484882417851403</v>
      </c>
    </row>
    <row r="26" spans="2:6" x14ac:dyDescent="0.3">
      <c r="B26" s="3" t="s">
        <v>27</v>
      </c>
      <c r="C26">
        <f>'M2'!C26/'M2'!C$2</f>
        <v>1.1825360138190768</v>
      </c>
      <c r="D26">
        <f>'M2'!D26/'M2'!D$2</f>
        <v>1.2534337272045302</v>
      </c>
      <c r="E26">
        <f>'M2'!E26/'M2'!E$2</f>
        <v>1.0824870680819623</v>
      </c>
      <c r="F26">
        <f>'M2'!F26/'M2'!F$2</f>
        <v>1.1456682795706876</v>
      </c>
    </row>
    <row r="27" spans="2:6" x14ac:dyDescent="0.3">
      <c r="B27" s="4" t="s">
        <v>28</v>
      </c>
      <c r="C27">
        <f>'M2'!C27/'M2'!C$2</f>
        <v>1.1839822465794747</v>
      </c>
      <c r="D27">
        <f>'M2'!D27/'M2'!D$2</f>
        <v>1.2643832661891097</v>
      </c>
      <c r="E27">
        <f>'M2'!E27/'M2'!E$2</f>
        <v>1.087863698946907</v>
      </c>
      <c r="F27">
        <f>'M2'!F27/'M2'!F$2</f>
        <v>1.1578475662345495</v>
      </c>
    </row>
    <row r="28" spans="2:6" x14ac:dyDescent="0.3">
      <c r="B28" s="3" t="s">
        <v>29</v>
      </c>
      <c r="C28">
        <f>'M2'!C28/'M2'!C$2</f>
        <v>1.2018809066939034</v>
      </c>
      <c r="D28">
        <f>'M2'!D28/'M2'!D$2</f>
        <v>1.2768464682548211</v>
      </c>
      <c r="E28">
        <f>'M2'!E28/'M2'!E$2</f>
        <v>1.0865573784420945</v>
      </c>
      <c r="F28">
        <f>'M2'!F28/'M2'!F$2</f>
        <v>1.1632043590532442</v>
      </c>
    </row>
    <row r="29" spans="2:6" x14ac:dyDescent="0.3">
      <c r="B29" s="4" t="s">
        <v>30</v>
      </c>
      <c r="C29">
        <f>'M2'!C29/'M2'!C$2</f>
        <v>1.205746155292976</v>
      </c>
      <c r="D29">
        <f>'M2'!D29/'M2'!D$2</f>
        <v>1.2736170877630006</v>
      </c>
      <c r="E29">
        <f>'M2'!E29/'M2'!E$2</f>
        <v>1.0947749422012625</v>
      </c>
      <c r="F29">
        <f>'M2'!F29/'M2'!F$2</f>
        <v>1.1670572865172155</v>
      </c>
    </row>
    <row r="30" spans="2:6" x14ac:dyDescent="0.3">
      <c r="B30" s="3" t="s">
        <v>31</v>
      </c>
      <c r="C30">
        <f>'M2'!C30/'M2'!C$2</f>
        <v>1.2276880283134968</v>
      </c>
      <c r="D30">
        <f>'M2'!D30/'M2'!D$2</f>
        <v>1.2894422084077228</v>
      </c>
      <c r="E30">
        <f>'M2'!E30/'M2'!E$2</f>
        <v>1.0959737548710431</v>
      </c>
      <c r="F30">
        <f>'M2'!F30/'M2'!F$2</f>
        <v>1.1687536432025538</v>
      </c>
    </row>
    <row r="31" spans="2:6" x14ac:dyDescent="0.3">
      <c r="B31" s="4" t="s">
        <v>32</v>
      </c>
      <c r="C31">
        <f>'M2'!C31/'M2'!C$2</f>
        <v>1.2515888979907188</v>
      </c>
      <c r="D31">
        <f>'M2'!D31/'M2'!D$2</f>
        <v>1.3182988071413475</v>
      </c>
      <c r="E31">
        <f>'M2'!E31/'M2'!E$2</f>
        <v>1.0985492814853688</v>
      </c>
      <c r="F31">
        <f>'M2'!F31/'M2'!F$2</f>
        <v>1.175381498973642</v>
      </c>
    </row>
    <row r="32" spans="2:6" x14ac:dyDescent="0.3">
      <c r="B32" s="3" t="s">
        <v>33</v>
      </c>
      <c r="C32">
        <f>'M2'!C32/'M2'!C$2</f>
        <v>1.2403101019366818</v>
      </c>
      <c r="D32">
        <f>'M2'!D32/'M2'!D$2</f>
        <v>1.3361378031855953</v>
      </c>
      <c r="E32">
        <f>'M2'!E32/'M2'!E$2</f>
        <v>1.0969356018627296</v>
      </c>
      <c r="F32">
        <f>'M2'!F32/'M2'!F$2</f>
        <v>1.1781476017798507</v>
      </c>
    </row>
    <row r="33" spans="2:6" x14ac:dyDescent="0.3">
      <c r="B33" s="4" t="s">
        <v>34</v>
      </c>
      <c r="C33">
        <f>'M2'!C33/'M2'!C$2</f>
        <v>1.2502671350911492</v>
      </c>
      <c r="D33">
        <f>'M2'!D33/'M2'!D$2</f>
        <v>1.3539854566447376</v>
      </c>
      <c r="E33">
        <f>'M2'!E33/'M2'!E$2</f>
        <v>1.0980584155799742</v>
      </c>
      <c r="F33">
        <f>'M2'!F33/'M2'!F$2</f>
        <v>1.1848014092941492</v>
      </c>
    </row>
    <row r="34" spans="2:6" x14ac:dyDescent="0.3">
      <c r="B34" s="3" t="s">
        <v>35</v>
      </c>
      <c r="C34">
        <f>'M2'!C34/'M2'!C$2</f>
        <v>1.2585287682091635</v>
      </c>
      <c r="D34">
        <f>'M2'!D34/'M2'!D$2</f>
        <v>1.3644168433512602</v>
      </c>
      <c r="E34">
        <f>'M2'!E34/'M2'!E$2</f>
        <v>1.0988106163928089</v>
      </c>
      <c r="F34">
        <f>'M2'!F34/'M2'!F$2</f>
        <v>1.1975029747901236</v>
      </c>
    </row>
    <row r="35" spans="2:6" x14ac:dyDescent="0.3">
      <c r="B35" s="4" t="s">
        <v>36</v>
      </c>
      <c r="C35">
        <f>'M2'!C35/'M2'!C$2</f>
        <v>1.2657582073883411</v>
      </c>
      <c r="D35">
        <f>'M2'!D35/'M2'!D$2</f>
        <v>1.3776809570965549</v>
      </c>
      <c r="E35">
        <f>'M2'!E35/'M2'!E$2</f>
        <v>1.1063068981676583</v>
      </c>
      <c r="F35">
        <f>'M2'!F35/'M2'!F$2</f>
        <v>1.1940639394660324</v>
      </c>
    </row>
    <row r="36" spans="2:6" x14ac:dyDescent="0.3">
      <c r="B36" s="3" t="s">
        <v>37</v>
      </c>
      <c r="C36">
        <f>'M2'!C36/'M2'!C$2</f>
        <v>1.2746475864427123</v>
      </c>
      <c r="D36">
        <f>'M2'!D36/'M2'!D$2</f>
        <v>1.3889270132069247</v>
      </c>
      <c r="E36">
        <f>'M2'!E36/'M2'!E$2</f>
        <v>1.1177308152504408</v>
      </c>
      <c r="F36">
        <f>'M2'!F36/'M2'!F$2</f>
        <v>1.2035898035028461</v>
      </c>
    </row>
    <row r="37" spans="2:6" x14ac:dyDescent="0.3">
      <c r="B37" s="4" t="s">
        <v>38</v>
      </c>
      <c r="C37">
        <f>'M2'!C37/'M2'!C$2</f>
        <v>1.2980577314659811</v>
      </c>
      <c r="D37">
        <f>'M2'!D37/'M2'!D$2</f>
        <v>1.4135632080086233</v>
      </c>
      <c r="E37">
        <f>'M2'!E37/'M2'!E$2</f>
        <v>1.1336632167783973</v>
      </c>
      <c r="F37">
        <f>'M2'!F37/'M2'!F$2</f>
        <v>1.2071155672628873</v>
      </c>
    </row>
    <row r="38" spans="2:6" x14ac:dyDescent="0.3">
      <c r="B38" s="3" t="s">
        <v>39</v>
      </c>
      <c r="C38">
        <f>'M2'!C38/'M2'!C$2</f>
        <v>1.2818940922017992</v>
      </c>
      <c r="D38">
        <f>'M2'!D38/'M2'!D$2</f>
        <v>1.417118885637711</v>
      </c>
      <c r="E38">
        <f>'M2'!E38/'M2'!E$2</f>
        <v>1.1374952633416811</v>
      </c>
      <c r="F38">
        <f>'M2'!F38/'M2'!F$2</f>
        <v>1.2187986699540783</v>
      </c>
    </row>
    <row r="39" spans="2:6" x14ac:dyDescent="0.3">
      <c r="B39" s="4" t="s">
        <v>40</v>
      </c>
      <c r="C39">
        <f>'M2'!C39/'M2'!C$2</f>
        <v>1.2818858667091102</v>
      </c>
      <c r="D39">
        <f>'M2'!D39/'M2'!D$2</f>
        <v>1.4328892556005943</v>
      </c>
      <c r="E39">
        <f>'M2'!E39/'M2'!E$2</f>
        <v>1.1419920057126667</v>
      </c>
      <c r="F39">
        <f>'M2'!F39/'M2'!F$2</f>
        <v>1.2257014520048031</v>
      </c>
    </row>
    <row r="40" spans="2:6" x14ac:dyDescent="0.3">
      <c r="B40" s="3" t="s">
        <v>41</v>
      </c>
      <c r="C40">
        <f>'M2'!C40/'M2'!C$2</f>
        <v>1.292467316319784</v>
      </c>
      <c r="D40">
        <f>'M2'!D40/'M2'!D$2</f>
        <v>1.4485242357890513</v>
      </c>
      <c r="E40">
        <f>'M2'!E40/'M2'!E$2</f>
        <v>1.1535239026736643</v>
      </c>
      <c r="F40">
        <f>'M2'!F40/'M2'!F$2</f>
        <v>1.232807220576412</v>
      </c>
    </row>
    <row r="41" spans="2:6" x14ac:dyDescent="0.3">
      <c r="B41" s="4" t="s">
        <v>42</v>
      </c>
      <c r="C41">
        <f>'M2'!C41/'M2'!C$2</f>
        <v>1.2956441601657109</v>
      </c>
      <c r="D41">
        <f>'M2'!D41/'M2'!D$2</f>
        <v>1.4468037916787044</v>
      </c>
      <c r="E41">
        <f>'M2'!E41/'M2'!E$2</f>
        <v>1.1546937436930604</v>
      </c>
      <c r="F41">
        <f>'M2'!F41/'M2'!F$2</f>
        <v>1.2327922887829839</v>
      </c>
    </row>
    <row r="42" spans="2:6" x14ac:dyDescent="0.3">
      <c r="B42" s="3" t="s">
        <v>43</v>
      </c>
      <c r="C42">
        <f>'M2'!C42/'M2'!C$2</f>
        <v>1.3018705563221917</v>
      </c>
      <c r="D42">
        <f>'M2'!D42/'M2'!D$2</f>
        <v>1.46444735049936</v>
      </c>
      <c r="E42">
        <f>'M2'!E42/'M2'!E$2</f>
        <v>1.1543331617062993</v>
      </c>
      <c r="F42">
        <f>'M2'!F42/'M2'!F$2</f>
        <v>1.2450323998449955</v>
      </c>
    </row>
    <row r="43" spans="2:6" x14ac:dyDescent="0.3">
      <c r="B43" s="4" t="s">
        <v>44</v>
      </c>
      <c r="C43">
        <f>'M2'!C43/'M2'!C$2</f>
        <v>1.3256001446057903</v>
      </c>
      <c r="D43">
        <f>'M2'!D43/'M2'!D$2</f>
        <v>1.4673300951015906</v>
      </c>
      <c r="E43">
        <f>'M2'!E43/'M2'!E$2</f>
        <v>1.154801428544286</v>
      </c>
      <c r="F43">
        <f>'M2'!F43/'M2'!F$2</f>
        <v>1.255769122606387</v>
      </c>
    </row>
    <row r="44" spans="2:6" x14ac:dyDescent="0.3">
      <c r="B44" s="3" t="s">
        <v>45</v>
      </c>
      <c r="C44">
        <f>'M2'!C44/'M2'!C$2</f>
        <v>1.3192865687661692</v>
      </c>
      <c r="D44">
        <f>'M2'!D44/'M2'!D$2</f>
        <v>1.4756475548132471</v>
      </c>
      <c r="E44">
        <f>'M2'!E44/'M2'!E$2</f>
        <v>1.1515332375636389</v>
      </c>
      <c r="F44">
        <f>'M2'!F44/'M2'!F$2</f>
        <v>1.2569373326941444</v>
      </c>
    </row>
    <row r="45" spans="2:6" x14ac:dyDescent="0.3">
      <c r="B45" s="4" t="s">
        <v>46</v>
      </c>
      <c r="C45">
        <f>'M2'!C45/'M2'!C$2</f>
        <v>1.3244748234304218</v>
      </c>
      <c r="D45">
        <f>'M2'!D45/'M2'!D$2</f>
        <v>1.4802061251391976</v>
      </c>
      <c r="E45">
        <f>'M2'!E45/'M2'!E$2</f>
        <v>1.1480967631880901</v>
      </c>
      <c r="F45">
        <f>'M2'!F45/'M2'!F$2</f>
        <v>1.260617900510653</v>
      </c>
    </row>
    <row r="46" spans="2:6" x14ac:dyDescent="0.3">
      <c r="B46" s="3" t="s">
        <v>47</v>
      </c>
      <c r="C46">
        <f>'M2'!C46/'M2'!C$2</f>
        <v>1.3429972915924535</v>
      </c>
      <c r="D46">
        <f>'M2'!D46/'M2'!D$2</f>
        <v>1.4853070192320605</v>
      </c>
      <c r="E46">
        <f>'M2'!E46/'M2'!E$2</f>
        <v>1.1516975675968788</v>
      </c>
      <c r="F46">
        <f>'M2'!F46/'M2'!F$2</f>
        <v>1.2697888840001446</v>
      </c>
    </row>
    <row r="47" spans="2:6" x14ac:dyDescent="0.3">
      <c r="B47" s="4" t="s">
        <v>48</v>
      </c>
      <c r="C47">
        <f>'M2'!C47/'M2'!C$2</f>
        <v>1.3575445353121323</v>
      </c>
      <c r="D47">
        <f>'M2'!D47/'M2'!D$2</f>
        <v>1.4881950680136879</v>
      </c>
      <c r="E47">
        <f>'M2'!E47/'M2'!E$2</f>
        <v>1.1643912218377561</v>
      </c>
      <c r="F47">
        <f>'M2'!F47/'M2'!F$2</f>
        <v>1.2795796084750188</v>
      </c>
    </row>
    <row r="48" spans="2:6" x14ac:dyDescent="0.3">
      <c r="B48" s="3" t="s">
        <v>49</v>
      </c>
      <c r="C48">
        <f>'M2'!C48/'M2'!C$2</f>
        <v>1.3583740645127882</v>
      </c>
      <c r="D48">
        <f>'M2'!D48/'M2'!D$2</f>
        <v>1.5000288612901918</v>
      </c>
      <c r="E48">
        <f>'M2'!E48/'M2'!E$2</f>
        <v>1.1706761817984632</v>
      </c>
      <c r="F48">
        <f>'M2'!F48/'M2'!F$2</f>
        <v>1.2819125938609912</v>
      </c>
    </row>
    <row r="49" spans="2:6" x14ac:dyDescent="0.3">
      <c r="B49" s="4" t="s">
        <v>50</v>
      </c>
      <c r="C49">
        <f>'M2'!C49/'M2'!C$2</f>
        <v>1.3797093158310882</v>
      </c>
      <c r="D49">
        <f>'M2'!D49/'M2'!D$2</f>
        <v>1.5407718212919748</v>
      </c>
      <c r="E49">
        <f>'M2'!E49/'M2'!E$2</f>
        <v>1.1865774874817099</v>
      </c>
      <c r="F49">
        <f>'M2'!F49/'M2'!F$2</f>
        <v>1.2882189628719765</v>
      </c>
    </row>
    <row r="50" spans="2:6" x14ac:dyDescent="0.3">
      <c r="B50" s="3" t="s">
        <v>51</v>
      </c>
      <c r="C50">
        <f>'M2'!C50/'M2'!C$2</f>
        <v>1.3521485977363785</v>
      </c>
      <c r="D50">
        <f>'M2'!D50/'M2'!D$2</f>
        <v>1.5161777071752314</v>
      </c>
      <c r="E50">
        <f>'M2'!E50/'M2'!E$2</f>
        <v>1.1869555350662588</v>
      </c>
      <c r="F50">
        <f>'M2'!F50/'M2'!F$2</f>
        <v>1.294176032868646</v>
      </c>
    </row>
    <row r="51" spans="2:6" x14ac:dyDescent="0.3">
      <c r="B51" s="4" t="s">
        <v>52</v>
      </c>
      <c r="C51">
        <f>'M2'!C51/'M2'!C$2</f>
        <v>1.3583268194289806</v>
      </c>
      <c r="D51">
        <f>'M2'!D51/'M2'!D$2</f>
        <v>1.5264398139361002</v>
      </c>
      <c r="E51">
        <f>'M2'!E51/'M2'!E$2</f>
        <v>1.196374861765104</v>
      </c>
      <c r="F51">
        <f>'M2'!F51/'M2'!F$2</f>
        <v>1.3069641836843393</v>
      </c>
    </row>
    <row r="52" spans="2:6" x14ac:dyDescent="0.3">
      <c r="B52" s="3" t="s">
        <v>53</v>
      </c>
      <c r="C52">
        <f>'M2'!C52/'M2'!C$2</f>
        <v>1.376643511345842</v>
      </c>
      <c r="D52">
        <f>'M2'!D52/'M2'!D$2</f>
        <v>1.5358636949499402</v>
      </c>
      <c r="E52">
        <f>'M2'!E52/'M2'!E$2</f>
        <v>1.1971587484766282</v>
      </c>
      <c r="F52">
        <f>'M2'!F52/'M2'!F$2</f>
        <v>1.3181792963003547</v>
      </c>
    </row>
    <row r="53" spans="2:6" x14ac:dyDescent="0.3">
      <c r="B53" s="4" t="s">
        <v>54</v>
      </c>
      <c r="C53">
        <f>'M2'!C53/'M2'!C$2</f>
        <v>1.3765201529086035</v>
      </c>
      <c r="D53">
        <f>'M2'!D53/'M2'!D$2</f>
        <v>1.5474646155363239</v>
      </c>
      <c r="E53">
        <f>'M2'!E53/'M2'!E$2</f>
        <v>1.2024272814525618</v>
      </c>
      <c r="F53">
        <f>'M2'!F53/'M2'!F$2</f>
        <v>1.316863294851446</v>
      </c>
    </row>
    <row r="54" spans="2:6" x14ac:dyDescent="0.3">
      <c r="B54" s="3" t="s">
        <v>55</v>
      </c>
      <c r="C54">
        <f>'M2'!C54/'M2'!C$2</f>
        <v>1.4037732653623394</v>
      </c>
      <c r="D54">
        <f>'M2'!D54/'M2'!D$2</f>
        <v>1.5535692661858396</v>
      </c>
      <c r="E54">
        <f>'M2'!E54/'M2'!E$2</f>
        <v>1.198123722754405</v>
      </c>
      <c r="F54">
        <f>'M2'!F54/'M2'!F$2</f>
        <v>1.3229750734937624</v>
      </c>
    </row>
    <row r="55" spans="2:6" x14ac:dyDescent="0.3">
      <c r="B55" s="4" t="s">
        <v>56</v>
      </c>
      <c r="C55">
        <f>'M2'!C55/'M2'!C$2</f>
        <v>1.415270750774851</v>
      </c>
      <c r="D55">
        <f>'M2'!D55/'M2'!D$2</f>
        <v>1.5607554827850154</v>
      </c>
      <c r="E55">
        <f>'M2'!E55/'M2'!E$2</f>
        <v>1.1930160974986315</v>
      </c>
      <c r="F55">
        <f>'M2'!F55/'M2'!F$2</f>
        <v>1.342398235892091</v>
      </c>
    </row>
    <row r="56" spans="2:6" x14ac:dyDescent="0.3">
      <c r="B56" s="3" t="s">
        <v>57</v>
      </c>
      <c r="C56">
        <f>'M2'!C56/'M2'!C$2</f>
        <v>1.4230852083602212</v>
      </c>
      <c r="D56">
        <f>'M2'!D56/'M2'!D$2</f>
        <v>1.5729933241919807</v>
      </c>
      <c r="E56">
        <f>'M2'!E56/'M2'!E$2</f>
        <v>1.1942925612720903</v>
      </c>
      <c r="F56">
        <f>'M2'!F56/'M2'!F$2</f>
        <v>1.339263417969569</v>
      </c>
    </row>
    <row r="57" spans="2:6" x14ac:dyDescent="0.3">
      <c r="B57" s="4" t="s">
        <v>58</v>
      </c>
      <c r="C57">
        <f>'M2'!C57/'M2'!C$2</f>
        <v>1.4215112505134375</v>
      </c>
      <c r="D57">
        <f>'M2'!D57/'M2'!D$2</f>
        <v>1.574250707244486</v>
      </c>
      <c r="E57">
        <f>'M2'!E57/'M2'!E$2</f>
        <v>1.2000788666148756</v>
      </c>
      <c r="F57">
        <f>'M2'!F57/'M2'!F$2</f>
        <v>1.3590724217265131</v>
      </c>
    </row>
    <row r="58" spans="2:6" x14ac:dyDescent="0.3">
      <c r="B58" s="3" t="s">
        <v>59</v>
      </c>
      <c r="C58">
        <f>'M2'!C58/'M2'!C$2</f>
        <v>1.4693254598489354</v>
      </c>
      <c r="D58">
        <f>'M2'!D58/'M2'!D$2</f>
        <v>1.5877690427886779</v>
      </c>
      <c r="E58">
        <f>'M2'!E58/'M2'!E$2</f>
        <v>1.2059134973785672</v>
      </c>
      <c r="F58">
        <f>'M2'!F58/'M2'!F$2</f>
        <v>1.3614953795163367</v>
      </c>
    </row>
    <row r="59" spans="2:6" x14ac:dyDescent="0.3">
      <c r="B59" s="4" t="s">
        <v>60</v>
      </c>
      <c r="C59">
        <f>'M2'!C59/'M2'!C$2</f>
        <v>1.4436309752614331</v>
      </c>
      <c r="D59">
        <f>'M2'!D59/'M2'!D$2</f>
        <v>1.5966756781856968</v>
      </c>
      <c r="E59">
        <f>'M2'!E59/'M2'!E$2</f>
        <v>1.2154398598692606</v>
      </c>
      <c r="F59">
        <f>'M2'!F59/'M2'!F$2</f>
        <v>1.3700765810181221</v>
      </c>
    </row>
    <row r="60" spans="2:6" x14ac:dyDescent="0.3">
      <c r="B60" s="3" t="s">
        <v>61</v>
      </c>
      <c r="C60">
        <f>'M2'!C60/'M2'!C$2</f>
        <v>1.4550012697415686</v>
      </c>
      <c r="D60">
        <f>'M2'!D60/'M2'!D$2</f>
        <v>1.6245608502653033</v>
      </c>
      <c r="E60">
        <f>'M2'!E60/'M2'!E$2</f>
        <v>1.2215312231193534</v>
      </c>
      <c r="F60">
        <f>'M2'!F60/'M2'!F$2</f>
        <v>1.3917762933020221</v>
      </c>
    </row>
    <row r="61" spans="2:6" x14ac:dyDescent="0.3">
      <c r="B61" s="4" t="s">
        <v>62</v>
      </c>
      <c r="C61">
        <f>'M2'!C61/'M2'!C$2</f>
        <v>1.4698941063149624</v>
      </c>
      <c r="D61">
        <f>'M2'!D61/'M2'!D$2</f>
        <v>1.6924441920172397</v>
      </c>
      <c r="E61">
        <f>'M2'!E61/'M2'!E$2</f>
        <v>1.2297320883509064</v>
      </c>
      <c r="F61">
        <f>'M2'!F61/'M2'!F$2</f>
        <v>1.3899494146140658</v>
      </c>
    </row>
    <row r="62" spans="2:6" x14ac:dyDescent="0.3">
      <c r="B62" s="3" t="s">
        <v>63</v>
      </c>
      <c r="C62">
        <f>'M2'!C62/'M2'!C$2</f>
        <v>1.4483600347301668</v>
      </c>
      <c r="D62">
        <f>'M2'!D62/'M2'!D$2</f>
        <v>1.6787037009779071</v>
      </c>
      <c r="E62">
        <f>'M2'!E62/'M2'!E$2</f>
        <v>1.2318142708331243</v>
      </c>
      <c r="F62">
        <f>'M2'!F62/'M2'!F$2</f>
        <v>1.3941682425751418</v>
      </c>
    </row>
    <row r="63" spans="2:6" x14ac:dyDescent="0.3">
      <c r="B63" s="4" t="s">
        <v>64</v>
      </c>
      <c r="C63">
        <f>'M2'!C63/'M2'!C$2</f>
        <v>1.4650898341291554</v>
      </c>
      <c r="D63">
        <f>'M2'!D63/'M2'!D$2</f>
        <v>1.6746550655711423</v>
      </c>
      <c r="E63">
        <f>'M2'!E63/'M2'!E$2</f>
        <v>1.2353790819491748</v>
      </c>
      <c r="F63">
        <f>'M2'!F63/'M2'!F$2</f>
        <v>1.42065924774388</v>
      </c>
    </row>
    <row r="64" spans="2:6" x14ac:dyDescent="0.3">
      <c r="B64" s="3" t="s">
        <v>65</v>
      </c>
      <c r="C64">
        <f>'M2'!C64/'M2'!C$2</f>
        <v>1.5426888519047253</v>
      </c>
      <c r="D64">
        <f>'M2'!D64/'M2'!D$2</f>
        <v>1.7207872435074629</v>
      </c>
      <c r="E64">
        <f>'M2'!E64/'M2'!E$2</f>
        <v>1.289812328611446</v>
      </c>
      <c r="F64">
        <f>'M2'!F64/'M2'!F$2</f>
        <v>1.4248837049433729</v>
      </c>
    </row>
    <row r="65" spans="2:6" x14ac:dyDescent="0.3">
      <c r="B65" s="4" t="s">
        <v>66</v>
      </c>
      <c r="C65">
        <f>'M2'!C65/'M2'!C$2</f>
        <v>1.4942579964969127</v>
      </c>
      <c r="D65">
        <f>'M2'!D65/'M2'!D$2</f>
        <v>1.7719529450685643</v>
      </c>
      <c r="E65">
        <f>'M2'!E65/'M2'!E$2</f>
        <v>1.3151452341163075</v>
      </c>
      <c r="F65">
        <f>'M2'!F65/'M2'!F$2</f>
        <v>1.4366156102693146</v>
      </c>
    </row>
    <row r="66" spans="2:6" x14ac:dyDescent="0.3">
      <c r="B66" s="3" t="s">
        <v>67</v>
      </c>
      <c r="C66">
        <f>'M2'!C66/'M2'!C$2</f>
        <v>1.5493325085739922</v>
      </c>
      <c r="D66">
        <f>'M2'!D66/'M2'!D$2</f>
        <v>1.7853160510205794</v>
      </c>
      <c r="E66">
        <f>'M2'!E66/'M2'!E$2</f>
        <v>1.327298634933721</v>
      </c>
      <c r="F66">
        <f>'M2'!F66/'M2'!F$2</f>
        <v>1.462572553369593</v>
      </c>
    </row>
    <row r="67" spans="2:6" x14ac:dyDescent="0.3">
      <c r="B67" s="4" t="s">
        <v>68</v>
      </c>
      <c r="C67">
        <f>'M2'!C67/'M2'!C$2</f>
        <v>1.5314995014965787</v>
      </c>
      <c r="D67">
        <f>'M2'!D67/'M2'!D$2</f>
        <v>1.7637345320245978</v>
      </c>
      <c r="E67">
        <f>'M2'!E67/'M2'!E$2</f>
        <v>1.3238415676742941</v>
      </c>
      <c r="F67">
        <f>'M2'!F67/'M2'!F$2</f>
        <v>1.4707968706968229</v>
      </c>
    </row>
    <row r="68" spans="2:6" x14ac:dyDescent="0.3">
      <c r="B68" s="3" t="s">
        <v>69</v>
      </c>
      <c r="C68">
        <f>'M2'!C68/'M2'!C$2</f>
        <v>1.573173387725765</v>
      </c>
      <c r="D68">
        <f>'M2'!D68/'M2'!D$2</f>
        <v>1.7780056596546352</v>
      </c>
      <c r="E68">
        <f>'M2'!E68/'M2'!E$2</f>
        <v>1.3306960477358389</v>
      </c>
      <c r="F68">
        <f>'M2'!F68/'M2'!F$2</f>
        <v>1.4711560447310734</v>
      </c>
    </row>
    <row r="69" spans="2:6" x14ac:dyDescent="0.3">
      <c r="B69" s="4" t="s">
        <v>70</v>
      </c>
      <c r="C69">
        <f>'M2'!C69/'M2'!C$2</f>
        <v>1.6111175399886315</v>
      </c>
      <c r="D69">
        <f>'M2'!D69/'M2'!D$2</f>
        <v>1.7658221028069621</v>
      </c>
      <c r="E69">
        <f>'M2'!E69/'M2'!E$2</f>
        <v>1.3272264123266524</v>
      </c>
      <c r="F69">
        <f>'M2'!F69/'M2'!F$2</f>
        <v>1.4751590057104806</v>
      </c>
    </row>
    <row r="70" spans="2:6" x14ac:dyDescent="0.3">
      <c r="B70" s="3" t="s">
        <v>71</v>
      </c>
      <c r="C70">
        <f>'M2'!C70/'M2'!C$2</f>
        <v>1.6164923221912264</v>
      </c>
      <c r="D70">
        <f>'M2'!D70/'M2'!D$2</f>
        <v>1.763440523702493</v>
      </c>
      <c r="E70">
        <f>'M2'!E70/'M2'!E$2</f>
        <v>1.3238350180751235</v>
      </c>
      <c r="F70">
        <f>'M2'!F70/'M2'!F$2</f>
        <v>1.4942769488936232</v>
      </c>
    </row>
    <row r="71" spans="2:6" x14ac:dyDescent="0.3">
      <c r="B71" s="4" t="s">
        <v>72</v>
      </c>
      <c r="C71">
        <f>'M2'!C71/'M2'!C$2</f>
        <v>1.6242221079824619</v>
      </c>
      <c r="D71">
        <f>'M2'!D71/'M2'!D$2</f>
        <v>1.7650105203727147</v>
      </c>
      <c r="E71">
        <f>'M2'!E71/'M2'!E$2</f>
        <v>1.3289543854050856</v>
      </c>
      <c r="F71">
        <f>'M2'!F71/'M2'!F$2</f>
        <v>1.5086487285100842</v>
      </c>
    </row>
    <row r="72" spans="2:6" x14ac:dyDescent="0.3">
      <c r="B72" s="3" t="s">
        <v>73</v>
      </c>
      <c r="C72">
        <f>'M2'!C72/'M2'!C$2</f>
        <v>1.6329918485151875</v>
      </c>
      <c r="D72">
        <f>'M2'!D72/'M2'!D$2</f>
        <v>1.7796686908968928</v>
      </c>
      <c r="E72">
        <f>'M2'!E72/'M2'!E$2</f>
        <v>1.3441633807543982</v>
      </c>
      <c r="F72">
        <f>'M2'!F72/'M2'!F$2</f>
        <v>1.5221826580052087</v>
      </c>
    </row>
    <row r="73" spans="2:6" x14ac:dyDescent="0.3">
      <c r="B73" s="4" t="s">
        <v>74</v>
      </c>
      <c r="C73">
        <f>'M2'!C73/'M2'!C$2</f>
        <v>1.6527753824350486</v>
      </c>
      <c r="D73">
        <f>'M2'!D73/'M2'!D$2</f>
        <v>1.8389714754077739</v>
      </c>
      <c r="E73">
        <f>'M2'!E73/'M2'!E$2</f>
        <v>1.3546718290882687</v>
      </c>
      <c r="F73">
        <f>'M2'!F73/'M2'!F$2</f>
        <v>1.5264947500434478</v>
      </c>
    </row>
    <row r="74" spans="2:6" x14ac:dyDescent="0.3">
      <c r="B74" s="3" t="s">
        <v>75</v>
      </c>
      <c r="C74">
        <f>'M2'!C74/'M2'!C$2</f>
        <v>1.6210035570082011</v>
      </c>
      <c r="D74">
        <f>'M2'!D74/'M2'!D$2</f>
        <v>1.8082153101164875</v>
      </c>
      <c r="E74">
        <f>'M2'!E74/'M2'!E$2</f>
        <v>1.3521261001998985</v>
      </c>
      <c r="F74">
        <f>'M2'!F74/'M2'!F$2</f>
        <v>1.5419406169731176</v>
      </c>
    </row>
    <row r="75" spans="2:6" x14ac:dyDescent="0.3">
      <c r="B75" s="4" t="s">
        <v>76</v>
      </c>
      <c r="C75">
        <f>'M2'!C75/'M2'!C$2</f>
        <v>1.6330711883504623</v>
      </c>
      <c r="D75">
        <f>'M2'!D75/'M2'!D$2</f>
        <v>1.810593751939058</v>
      </c>
      <c r="E75">
        <f>'M2'!E75/'M2'!E$2</f>
        <v>1.3582988318937392</v>
      </c>
      <c r="F75">
        <f>'M2'!F75/'M2'!F$2</f>
        <v>1.5691331302005158</v>
      </c>
    </row>
    <row r="76" spans="2:6" x14ac:dyDescent="0.3">
      <c r="B76" s="3" t="s">
        <v>77</v>
      </c>
      <c r="C76">
        <f>'M2'!C76/'M2'!C$2</f>
        <v>1.6517009975153671</v>
      </c>
      <c r="D76">
        <f>'M2'!D76/'M2'!D$2</f>
        <v>1.8313656131080023</v>
      </c>
      <c r="E76">
        <f>'M2'!E76/'M2'!E$2</f>
        <v>1.3635955104444866</v>
      </c>
      <c r="F76">
        <f>'M2'!F76/'M2'!F$2</f>
        <v>1.5861671102395227</v>
      </c>
    </row>
    <row r="77" spans="2:6" x14ac:dyDescent="0.3">
      <c r="B77" s="4" t="s">
        <v>78</v>
      </c>
      <c r="C77">
        <f>'M2'!C77/'M2'!C$2</f>
        <v>1.6681860849138976</v>
      </c>
      <c r="D77">
        <f>'M2'!D77/'M2'!D$2</f>
        <v>1.8400533192179096</v>
      </c>
      <c r="E77">
        <f>'M2'!E77/'M2'!E$2</f>
        <v>1.3712738828773534</v>
      </c>
      <c r="F77">
        <f>'M2'!F77/'M2'!F$2</f>
        <v>1.5949705235425484</v>
      </c>
    </row>
    <row r="78" spans="2:6" x14ac:dyDescent="0.3">
      <c r="B78" s="3" t="s">
        <v>79</v>
      </c>
      <c r="C78">
        <f>'M2'!C78/'M2'!C$2</f>
        <v>1.6776970419827637</v>
      </c>
      <c r="D78">
        <f>'M2'!D78/'M2'!D$2</f>
        <v>1.8471710130564429</v>
      </c>
      <c r="E78">
        <f>'M2'!E78/'M2'!E$2</f>
        <v>1.3737990188818454</v>
      </c>
      <c r="F78">
        <f>'M2'!F78/'M2'!F$2</f>
        <v>1.6145990100268663</v>
      </c>
    </row>
    <row r="79" spans="2:6" x14ac:dyDescent="0.3">
      <c r="B79" s="4" t="s">
        <v>80</v>
      </c>
      <c r="C79">
        <f>'M2'!C79/'M2'!C$2</f>
        <v>1.7078703576408532</v>
      </c>
      <c r="D79">
        <f>'M2'!D79/'M2'!D$2</f>
        <v>1.8640915611513753</v>
      </c>
      <c r="E79">
        <f>'M2'!E79/'M2'!E$2</f>
        <v>1.3627369819045787</v>
      </c>
      <c r="F79">
        <f>'M2'!F79/'M2'!F$2</f>
        <v>1.6309729857141855</v>
      </c>
    </row>
    <row r="80" spans="2:6" x14ac:dyDescent="0.3">
      <c r="B80" s="3" t="s">
        <v>81</v>
      </c>
      <c r="C80">
        <f>'M2'!C80/'M2'!C$2</f>
        <v>1.7151757904079885</v>
      </c>
      <c r="D80">
        <f>'M2'!D80/'M2'!D$2</f>
        <v>1.8695571881119604</v>
      </c>
      <c r="E80">
        <f>'M2'!E80/'M2'!E$2</f>
        <v>1.3728510971640708</v>
      </c>
      <c r="F80">
        <f>'M2'!F80/'M2'!F$2</f>
        <v>1.6406819908211929</v>
      </c>
    </row>
    <row r="81" spans="2:6" x14ac:dyDescent="0.3">
      <c r="B81" s="4" t="s">
        <v>82</v>
      </c>
      <c r="C81">
        <f>'M2'!C81/'M2'!C$2</f>
        <v>1.7273775902190853</v>
      </c>
      <c r="D81">
        <f>'M2'!D81/'M2'!D$2</f>
        <v>1.8782097856686393</v>
      </c>
      <c r="E81">
        <f>'M2'!E81/'M2'!E$2</f>
        <v>1.3792249192540631</v>
      </c>
      <c r="F81">
        <f>'M2'!F81/'M2'!F$2</f>
        <v>1.6649127613546868</v>
      </c>
    </row>
    <row r="82" spans="2:6" x14ac:dyDescent="0.3">
      <c r="B82" s="3" t="s">
        <v>83</v>
      </c>
      <c r="C82">
        <f>'M2'!C82/'M2'!C$2</f>
        <v>1.7487964282563342</v>
      </c>
      <c r="D82">
        <f>'M2'!D82/'M2'!D$2</f>
        <v>1.9015228274686231</v>
      </c>
      <c r="E82">
        <f>'M2'!E82/'M2'!E$2</f>
        <v>1.3876363747508349</v>
      </c>
      <c r="F82">
        <f>'M2'!F82/'M2'!F$2</f>
        <v>1.67141510419124</v>
      </c>
    </row>
    <row r="83" spans="2:6" x14ac:dyDescent="0.3">
      <c r="B83" s="4" t="s">
        <v>84</v>
      </c>
      <c r="C83">
        <f>'M2'!C83/'M2'!C$2</f>
        <v>1.7944950379978839</v>
      </c>
      <c r="D83">
        <f>'M2'!D83/'M2'!D$2</f>
        <v>1.9042913820785268</v>
      </c>
      <c r="E83">
        <f>'M2'!E83/'M2'!E$2</f>
        <v>1.4001046873770107</v>
      </c>
      <c r="F83">
        <f>'M2'!F83/'M2'!F$2</f>
        <v>1.6998541120847201</v>
      </c>
    </row>
    <row r="84" spans="2:6" x14ac:dyDescent="0.3">
      <c r="B84" s="3" t="s">
        <v>85</v>
      </c>
      <c r="C84">
        <f>'M2'!C84/'M2'!C$2</f>
        <v>1.8140444807194367</v>
      </c>
      <c r="D84">
        <f>'M2'!D84/'M2'!D$2</f>
        <v>1.9249770317329105</v>
      </c>
      <c r="E84">
        <f>'M2'!E84/'M2'!E$2</f>
        <v>1.4057660192869763</v>
      </c>
      <c r="F84">
        <f>'M2'!F84/'M2'!F$2</f>
        <v>1.7156861066054676</v>
      </c>
    </row>
    <row r="85" spans="2:6" x14ac:dyDescent="0.3">
      <c r="B85" s="4" t="s">
        <v>86</v>
      </c>
      <c r="C85">
        <f>'M2'!C85/'M2'!C$2</f>
        <v>1.8852170173486349</v>
      </c>
      <c r="D85">
        <f>'M2'!D85/'M2'!D$2</f>
        <v>1.9857263355690031</v>
      </c>
      <c r="E85">
        <f>'M2'!E85/'M2'!E$2</f>
        <v>1.4197652859678909</v>
      </c>
      <c r="F85">
        <f>'M2'!F85/'M2'!F$2</f>
        <v>1.7239244970287402</v>
      </c>
    </row>
    <row r="86" spans="2:6" x14ac:dyDescent="0.3">
      <c r="B86" s="3" t="s">
        <v>87</v>
      </c>
      <c r="C86">
        <f>'M2'!C86/'M2'!C$2</f>
        <v>1.8316426492619904</v>
      </c>
      <c r="D86">
        <f>'M2'!D86/'M2'!D$2</f>
        <v>1.9620477399090306</v>
      </c>
      <c r="E86">
        <f>'M2'!E86/'M2'!E$2</f>
        <v>1.4214134837483203</v>
      </c>
      <c r="F86">
        <f>'M2'!F86/'M2'!F$2</f>
        <v>1.7315691936206608</v>
      </c>
    </row>
    <row r="87" spans="2:6" x14ac:dyDescent="0.3">
      <c r="B87" s="4" t="s">
        <v>88</v>
      </c>
      <c r="C87">
        <f>'M2'!C87/'M2'!C$2</f>
        <v>1.8420251923750277</v>
      </c>
      <c r="D87">
        <f>'M2'!D87/'M2'!D$2</f>
        <v>1.9685135749697025</v>
      </c>
      <c r="E87">
        <f>'M2'!E87/'M2'!E$2</f>
        <v>1.4320339243274653</v>
      </c>
      <c r="F87">
        <f>'M2'!F87/'M2'!F$2</f>
        <v>1.7446428136116703</v>
      </c>
    </row>
    <row r="88" spans="2:6" x14ac:dyDescent="0.3">
      <c r="B88" s="3" t="s">
        <v>89</v>
      </c>
      <c r="C88">
        <f>'M2'!C88/'M2'!C$2</f>
        <v>1.8709640805118026</v>
      </c>
      <c r="D88">
        <f>'M2'!D88/'M2'!D$2</f>
        <v>1.9833879761793134</v>
      </c>
      <c r="E88">
        <f>'M2'!E88/'M2'!E$2</f>
        <v>1.4491555206453397</v>
      </c>
      <c r="F88">
        <f>'M2'!F88/'M2'!F$2</f>
        <v>1.7425921488439333</v>
      </c>
    </row>
    <row r="89" spans="2:6" x14ac:dyDescent="0.3">
      <c r="B89" s="4" t="s">
        <v>90</v>
      </c>
      <c r="C89">
        <f>'M2'!C89/'M2'!C$2</f>
        <v>1.8950453648976227</v>
      </c>
      <c r="D89">
        <f>'M2'!D89/'M2'!D$2</f>
        <v>1.9862342910484445</v>
      </c>
      <c r="E89">
        <f>'M2'!E89/'M2'!E$2</f>
        <v>1.4535175536928469</v>
      </c>
      <c r="F89">
        <f>'M2'!F89/'M2'!F$2</f>
        <v>1.7535040935774062</v>
      </c>
    </row>
    <row r="90" spans="2:6" x14ac:dyDescent="0.3">
      <c r="B90" s="3" t="s">
        <v>91</v>
      </c>
      <c r="C90">
        <f>'M2'!C90/'M2'!C$2</f>
        <v>1.8813207734451376</v>
      </c>
      <c r="D90">
        <f>'M2'!D90/'M2'!D$2</f>
        <v>1.9888548330491087</v>
      </c>
      <c r="E90">
        <f>'M2'!E90/'M2'!E$2</f>
        <v>1.4536755111431103</v>
      </c>
      <c r="F90">
        <f>'M2'!F90/'M2'!F$2</f>
        <v>1.7672305621085562</v>
      </c>
    </row>
    <row r="91" spans="2:6" x14ac:dyDescent="0.3">
      <c r="B91" s="4" t="s">
        <v>92</v>
      </c>
      <c r="C91">
        <f>'M2'!C91/'M2'!C$2</f>
        <v>1.8900780966936175</v>
      </c>
      <c r="D91">
        <f>'M2'!D91/'M2'!D$2</f>
        <v>2.0186932433153113</v>
      </c>
      <c r="E91">
        <f>'M2'!E91/'M2'!E$2</f>
        <v>1.4483391219595552</v>
      </c>
      <c r="F91">
        <f>'M2'!F91/'M2'!F$2</f>
        <v>1.7712247929978762</v>
      </c>
    </row>
    <row r="92" spans="2:6" x14ac:dyDescent="0.3">
      <c r="B92" s="3" t="s">
        <v>93</v>
      </c>
      <c r="C92">
        <f>'M2'!C92/'M2'!C$2</f>
        <v>1.8792524716318051</v>
      </c>
      <c r="D92">
        <f>'M2'!D92/'M2'!D$2</f>
        <v>2.016803515918546</v>
      </c>
      <c r="E92">
        <f>'M2'!E92/'M2'!E$2</f>
        <v>1.4468928996562465</v>
      </c>
      <c r="F92">
        <f>'M2'!F92/'M2'!F$2</f>
        <v>1.778304991469557</v>
      </c>
    </row>
    <row r="93" spans="2:6" x14ac:dyDescent="0.3">
      <c r="B93" s="4" t="s">
        <v>94</v>
      </c>
      <c r="C93">
        <f>'M2'!C93/'M2'!C$2</f>
        <v>1.8917263570398795</v>
      </c>
      <c r="D93">
        <f>'M2'!D93/'M2'!D$2</f>
        <v>2.0201329641578787</v>
      </c>
      <c r="E93">
        <f>'M2'!E93/'M2'!E$2</f>
        <v>1.4511224065799988</v>
      </c>
      <c r="F93">
        <f>'M2'!F93/'M2'!F$2</f>
        <v>1.7829347538350737</v>
      </c>
    </row>
    <row r="94" spans="2:6" x14ac:dyDescent="0.3">
      <c r="B94" s="3" t="s">
        <v>95</v>
      </c>
      <c r="C94">
        <f>'M2'!C94/'M2'!C$2</f>
        <v>1.9073114739771269</v>
      </c>
      <c r="D94">
        <f>'M2'!D94/'M2'!D$2</f>
        <v>2.0305318083466233</v>
      </c>
      <c r="E94">
        <f>'M2'!E94/'M2'!E$2</f>
        <v>1.4509794955062079</v>
      </c>
      <c r="F94">
        <f>'M2'!F94/'M2'!F$2</f>
        <v>1.7879227361266345</v>
      </c>
    </row>
    <row r="95" spans="2:6" x14ac:dyDescent="0.3">
      <c r="B95" s="4" t="s">
        <v>96</v>
      </c>
      <c r="C95">
        <f>'M2'!C95/'M2'!C$2</f>
        <v>1.9696761487235284</v>
      </c>
      <c r="D95">
        <f>'M2'!D95/'M2'!D$2</f>
        <v>2.0407880381750565</v>
      </c>
      <c r="E95">
        <f>'M2'!E95/'M2'!E$2</f>
        <v>1.4591213553398292</v>
      </c>
      <c r="F95">
        <f>'M2'!F95/'M2'!F$2</f>
        <v>1.7984747912447023</v>
      </c>
    </row>
    <row r="96" spans="2:6" x14ac:dyDescent="0.3">
      <c r="B96" s="3" t="s">
        <v>97</v>
      </c>
      <c r="C96">
        <f>'M2'!C96/'M2'!C$2</f>
        <v>1.987471978202799</v>
      </c>
      <c r="D96">
        <f>'M2'!D96/'M2'!D$2</f>
        <v>2.0631521808673692</v>
      </c>
      <c r="E96">
        <f>'M2'!E96/'M2'!E$2</f>
        <v>1.4725810766620553</v>
      </c>
      <c r="F96">
        <f>'M2'!F96/'M2'!F$2</f>
        <v>1.8118743823043841</v>
      </c>
    </row>
    <row r="97" spans="2:6" x14ac:dyDescent="0.3">
      <c r="B97" s="4" t="s">
        <v>98</v>
      </c>
      <c r="C97">
        <f>'M2'!C97/'M2'!C$2</f>
        <v>2.0427252522249488</v>
      </c>
      <c r="D97">
        <f>'M2'!D97/'M2'!D$2</f>
        <v>2.1410168713750637</v>
      </c>
      <c r="E97">
        <f>'M2'!E97/'M2'!E$2</f>
        <v>1.4752458194380538</v>
      </c>
      <c r="F97">
        <f>'M2'!F97/'M2'!F$2</f>
        <v>1.7928816658233144</v>
      </c>
    </row>
    <row r="98" spans="2:6" x14ac:dyDescent="0.3">
      <c r="B98" s="3" t="s">
        <v>99</v>
      </c>
      <c r="C98">
        <f>'M2'!C98/'M2'!C$2</f>
        <v>1.9813612060293073</v>
      </c>
      <c r="D98">
        <f>'M2'!D98/'M2'!D$2</f>
        <v>2.0963134421592899</v>
      </c>
      <c r="E98">
        <f>'M2'!E98/'M2'!E$2</f>
        <v>1.4736821763928607</v>
      </c>
      <c r="F98">
        <f>'M2'!F98/'M2'!F$2</f>
        <v>1.798401086385768</v>
      </c>
    </row>
    <row r="99" spans="2:6" x14ac:dyDescent="0.3">
      <c r="B99" s="4" t="s">
        <v>100</v>
      </c>
      <c r="C99">
        <f>'M2'!C99/'M2'!C$2</f>
        <v>1.9882621572596304</v>
      </c>
      <c r="D99">
        <f>'M2'!D99/'M2'!D$2</f>
        <v>2.1089831803177383</v>
      </c>
      <c r="E99">
        <f>'M2'!E99/'M2'!E$2</f>
        <v>1.4823867117011598</v>
      </c>
      <c r="F99">
        <f>'M2'!F99/'M2'!F$2</f>
        <v>1.813856589808321</v>
      </c>
    </row>
    <row r="100" spans="2:6" x14ac:dyDescent="0.3">
      <c r="B100" s="3" t="s">
        <v>101</v>
      </c>
      <c r="C100">
        <f>'M2'!C100/'M2'!C$2</f>
        <v>1.9864979783073158</v>
      </c>
      <c r="D100">
        <f>'M2'!D100/'M2'!D$2</f>
        <v>2.1198670118247471</v>
      </c>
      <c r="E100">
        <f>'M2'!E100/'M2'!E$2</f>
        <v>1.4889980895232258</v>
      </c>
      <c r="F100">
        <f>'M2'!F100/'M2'!F$2</f>
        <v>1.8018000014597855</v>
      </c>
    </row>
    <row r="101" spans="2:6" x14ac:dyDescent="0.3">
      <c r="B101" s="4" t="s">
        <v>102</v>
      </c>
      <c r="C101">
        <f>'M2'!C101/'M2'!C$2</f>
        <v>2.0006462209582292</v>
      </c>
      <c r="D101">
        <f>'M2'!D101/'M2'!D$2</f>
        <v>2.1303629714558037</v>
      </c>
      <c r="E101">
        <f>'M2'!E101/'M2'!E$2</f>
        <v>1.4868881745039799</v>
      </c>
      <c r="F101">
        <f>'M2'!F101/'M2'!F$2</f>
        <v>1.8001146170188194</v>
      </c>
    </row>
    <row r="102" spans="2:6" x14ac:dyDescent="0.3">
      <c r="B102" s="3" t="s">
        <v>103</v>
      </c>
      <c r="C102">
        <f>'M2'!C102/'M2'!C$2</f>
        <v>1.9967708761297784</v>
      </c>
      <c r="D102">
        <f>'M2'!D102/'M2'!D$2</f>
        <v>2.1360234393682318</v>
      </c>
      <c r="E102">
        <f>'M2'!E102/'M2'!E$2</f>
        <v>1.4806687695403751</v>
      </c>
      <c r="F102">
        <f>'M2'!F102/'M2'!F$2</f>
        <v>1.802196910473594</v>
      </c>
    </row>
    <row r="103" spans="2:6" x14ac:dyDescent="0.3">
      <c r="B103" s="4" t="s">
        <v>104</v>
      </c>
      <c r="C103">
        <f>'M2'!C103/'M2'!C$2</f>
        <v>2.0055902929854144</v>
      </c>
      <c r="D103">
        <f>'M2'!D103/'M2'!D$2</f>
        <v>2.1427381465855322</v>
      </c>
      <c r="E103">
        <f>'M2'!E103/'M2'!E$2</f>
        <v>1.4735877087507718</v>
      </c>
      <c r="F103">
        <f>'M2'!F103/'M2'!F$2</f>
        <v>1.8167146686456144</v>
      </c>
    </row>
    <row r="104" spans="2:6" x14ac:dyDescent="0.3">
      <c r="B104" s="3" t="s">
        <v>105</v>
      </c>
      <c r="C104">
        <f>'M2'!C104/'M2'!C$2</f>
        <v>1.999961794814098</v>
      </c>
      <c r="D104">
        <f>'M2'!D104/'M2'!D$2</f>
        <v>2.1333539572218103</v>
      </c>
      <c r="E104">
        <f>'M2'!E104/'M2'!E$2</f>
        <v>1.4703595824353204</v>
      </c>
      <c r="F104">
        <f>'M2'!F104/'M2'!F$2</f>
        <v>1.8071610400599982</v>
      </c>
    </row>
    <row r="105" spans="2:6" x14ac:dyDescent="0.3">
      <c r="B105" s="4" t="s">
        <v>106</v>
      </c>
      <c r="C105">
        <f>'M2'!C105/'M2'!C$2</f>
        <v>2.0036138464992903</v>
      </c>
      <c r="D105">
        <f>'M2'!D105/'M2'!D$2</f>
        <v>2.1711391710363581</v>
      </c>
      <c r="E105">
        <f>'M2'!E105/'M2'!E$2</f>
        <v>1.4696665640366111</v>
      </c>
      <c r="F105">
        <f>'M2'!F105/'M2'!F$2</f>
        <v>1.8244546806473414</v>
      </c>
    </row>
    <row r="106" spans="2:6" x14ac:dyDescent="0.3">
      <c r="B106" s="3" t="s">
        <v>107</v>
      </c>
      <c r="C106">
        <f>'M2'!C106/'M2'!C$2</f>
        <v>2.0219373506762581</v>
      </c>
      <c r="D106">
        <f>'M2'!D106/'M2'!D$2</f>
        <v>2.1942698506126619</v>
      </c>
      <c r="E106">
        <f>'M2'!E106/'M2'!E$2</f>
        <v>1.4768764926152975</v>
      </c>
      <c r="F106">
        <f>'M2'!F106/'M2'!F$2</f>
        <v>1.8316342494887052</v>
      </c>
    </row>
    <row r="107" spans="2:6" x14ac:dyDescent="0.3">
      <c r="B107" s="3" t="s">
        <v>108</v>
      </c>
      <c r="C107">
        <f>'M2'!C107/'M2'!C$2</f>
        <v>2.0375805466820056</v>
      </c>
      <c r="E107">
        <f>'M2'!E107/'M2'!E$2</f>
        <v>1.4843656347369971</v>
      </c>
      <c r="F107">
        <f>'M2'!F107/'M2'!F$2</f>
        <v>1.8383824660100143</v>
      </c>
    </row>
    <row r="108" spans="2:6" x14ac:dyDescent="0.3">
      <c r="B108" s="4" t="s">
        <v>109</v>
      </c>
      <c r="C108">
        <f>'M2'!C108/'M2'!C$2</f>
        <v>2.0539580056405273</v>
      </c>
      <c r="E108">
        <f>'M2'!E108/'M2'!E$2</f>
        <v>1.4942945320523813</v>
      </c>
      <c r="F108">
        <f>'M2'!F108/'M2'!F$2</f>
        <v>1.8636980575740376</v>
      </c>
    </row>
    <row r="109" spans="2:6" x14ac:dyDescent="0.3">
      <c r="B109" s="3" t="s">
        <v>110</v>
      </c>
      <c r="C109">
        <f>'M2'!C109/'M2'!C$2</f>
        <v>2.1142273211579257</v>
      </c>
      <c r="E109">
        <f>'M2'!E109/'M2'!E$2</f>
        <v>1.5035577304682988</v>
      </c>
      <c r="F109">
        <f>'M2'!F109/'M2'!F$2</f>
        <v>1.8626828387371557</v>
      </c>
    </row>
    <row r="110" spans="2:6" x14ac:dyDescent="0.3">
      <c r="B110" s="5" t="s">
        <v>111</v>
      </c>
      <c r="C110">
        <f>'M2'!C110/'M2'!C$2</f>
        <v>2.0891768610298769</v>
      </c>
      <c r="E110">
        <f>'M2'!E110/'M2'!E$2</f>
        <v>1.5080960126394283</v>
      </c>
      <c r="F110">
        <f>'M2'!F110/'M2'!F$2</f>
        <v>1.8619509900375359</v>
      </c>
    </row>
    <row r="111" spans="2:6" x14ac:dyDescent="0.3">
      <c r="B111" s="5" t="s">
        <v>112</v>
      </c>
      <c r="C111">
        <f>'M2'!C111/'M2'!C$2</f>
        <v>2.0933984981424048</v>
      </c>
      <c r="E111">
        <f>'M2'!E111/'M2'!E$2</f>
        <v>1.5202113549751759</v>
      </c>
      <c r="F111">
        <f>'M2'!F111/'M2'!F$2</f>
        <v>1.8928800772331511</v>
      </c>
    </row>
    <row r="112" spans="2:6" x14ac:dyDescent="0.3">
      <c r="B112" s="5" t="s">
        <v>113</v>
      </c>
      <c r="C112">
        <f>'M2'!C112/'M2'!C$2</f>
        <v>2.1297713513519896</v>
      </c>
      <c r="E112">
        <f>'M2'!E112/'M2'!E$2</f>
        <v>1.5260701779520194</v>
      </c>
      <c r="F112">
        <f>'M2'!F112/'M2'!F$2</f>
        <v>1.9149787498635029</v>
      </c>
    </row>
    <row r="113" spans="2:6" x14ac:dyDescent="0.3">
      <c r="B113" s="5" t="s">
        <v>114</v>
      </c>
      <c r="C113">
        <f>'M2'!C113/'M2'!C$2</f>
        <v>2.1381647408622126</v>
      </c>
      <c r="E113">
        <f>'M2'!E113/'M2'!E$2</f>
        <v>1.525704580506434</v>
      </c>
      <c r="F113">
        <f>'M2'!F113/'M2'!F$2</f>
        <v>1.8944268297517464</v>
      </c>
    </row>
    <row r="114" spans="2:6" x14ac:dyDescent="0.3">
      <c r="B114" s="5" t="s">
        <v>115</v>
      </c>
      <c r="C114">
        <f>'M2'!C114/'M2'!C$2</f>
        <v>2.1483102058260433</v>
      </c>
      <c r="E114">
        <f>'M2'!E114/'M2'!E$2</f>
        <v>1.526068820827867</v>
      </c>
      <c r="F114">
        <f>'M2'!F114/'M2'!F$2</f>
        <v>1.9126820205893689</v>
      </c>
    </row>
    <row r="115" spans="2:6" x14ac:dyDescent="0.3">
      <c r="B115" s="5" t="s">
        <v>116</v>
      </c>
      <c r="C115">
        <f>'M2'!C115/'M2'!C$2</f>
        <v>2.1594565244997246</v>
      </c>
      <c r="E115">
        <f>'M2'!E115/'M2'!E$2</f>
        <v>1.5175538108577249</v>
      </c>
      <c r="F115">
        <f>'M2'!F115/'M2'!F$2</f>
        <v>1.9273687513247195</v>
      </c>
    </row>
    <row r="116" spans="2:6" x14ac:dyDescent="0.3">
      <c r="B116" s="5" t="s">
        <v>117</v>
      </c>
      <c r="C116">
        <f>'M2'!C116/'M2'!C$2</f>
        <v>2.1517983129504912</v>
      </c>
      <c r="E116">
        <f>'M2'!E116/'M2'!E$2</f>
        <v>1.5173350778475916</v>
      </c>
      <c r="F116">
        <f>'M2'!F116/'M2'!F$2</f>
        <v>1.9284266665038321</v>
      </c>
    </row>
    <row r="117" spans="2:6" x14ac:dyDescent="0.3">
      <c r="B117" s="5" t="s">
        <v>120</v>
      </c>
      <c r="C117">
        <f>'M2'!C117/'M2'!C$2</f>
        <v>2.149912847503622</v>
      </c>
      <c r="E117">
        <f>'M2'!E117/'M2'!E$2</f>
        <v>1.5090946789994242</v>
      </c>
      <c r="F117">
        <f>'M2'!F117/'M2'!F$2</f>
        <v>1.9427220220529708</v>
      </c>
    </row>
    <row r="118" spans="2:6" x14ac:dyDescent="0.3">
      <c r="B118" s="5" t="s">
        <v>121</v>
      </c>
      <c r="C118">
        <f>'M2'!C118/'M2'!C$2</f>
        <v>2.1672756888681857</v>
      </c>
      <c r="E118">
        <f>'M2'!E118/'M2'!E$2</f>
        <v>1.5218779624397598</v>
      </c>
      <c r="F118">
        <f>'M2'!F118/'M2'!F$2</f>
        <v>1.9447029415108295</v>
      </c>
    </row>
    <row r="119" spans="2:6" x14ac:dyDescent="0.3">
      <c r="B119" s="5" t="s">
        <v>122</v>
      </c>
      <c r="C119">
        <f>'M2'!C119/'M2'!C$2</f>
        <v>2.1756009246383163</v>
      </c>
      <c r="E119">
        <f>'M2'!E119/'M2'!E$2</f>
        <v>1.5455839711128454</v>
      </c>
      <c r="F119">
        <f>'M2'!F119/'M2'!F$2</f>
        <v>1.9643340517927144</v>
      </c>
    </row>
    <row r="120" spans="2:6" x14ac:dyDescent="0.3">
      <c r="B120" s="5" t="s">
        <v>123</v>
      </c>
      <c r="C120">
        <f>'M2'!C120/'M2'!C$2</f>
        <v>2.197876236712347</v>
      </c>
      <c r="E120">
        <f>'M2'!E120/'M2'!E$2</f>
        <v>1.5507101830689676</v>
      </c>
      <c r="F120">
        <f>'M2'!F120/'M2'!F$2</f>
        <v>1.9834204139942295</v>
      </c>
    </row>
    <row r="121" spans="2:6" x14ac:dyDescent="0.3">
      <c r="B121" s="5" t="s">
        <v>124</v>
      </c>
      <c r="C121">
        <f>'M2'!C121/'M2'!C$2</f>
        <v>2.2062754037089896</v>
      </c>
      <c r="E121">
        <f>'M2'!E121/'M2'!E$2</f>
        <v>1.5542792425736691</v>
      </c>
      <c r="F121">
        <f>'M2'!F121/'M2'!F$2</f>
        <v>1.9847148048922663</v>
      </c>
    </row>
    <row r="122" spans="2:6" x14ac:dyDescent="0.3">
      <c r="B122" s="5" t="s">
        <v>125</v>
      </c>
      <c r="C122">
        <f>'M2'!C122/'M2'!C$2</f>
        <v>2.2032900385060605</v>
      </c>
      <c r="E122">
        <f>'M2'!E122/'M2'!E$2</f>
        <v>1.563121437475343</v>
      </c>
      <c r="F122">
        <f>'M2'!F122/'M2'!F$2</f>
        <v>1.9934444656309471</v>
      </c>
    </row>
    <row r="123" spans="2:6" x14ac:dyDescent="0.3">
      <c r="B123" s="5" t="s">
        <v>126</v>
      </c>
      <c r="C123">
        <f>'M2'!C123/'M2'!C$2</f>
        <v>2.2231057031070307</v>
      </c>
      <c r="E123">
        <f>'M2'!E123/'M2'!E$2</f>
        <v>1.5692649024918097</v>
      </c>
      <c r="F123">
        <f>'M2'!F123/'M2'!F$2</f>
        <v>2.0132000870337503</v>
      </c>
    </row>
    <row r="124" spans="2:6" x14ac:dyDescent="0.3">
      <c r="B124" s="5" t="s">
        <v>127</v>
      </c>
      <c r="C124">
        <f>'M2'!C124/'M2'!C$2</f>
        <v>2.260381786794075</v>
      </c>
      <c r="E124">
        <f>'M2'!E124/'M2'!E$2</f>
        <v>1.5726882776690176</v>
      </c>
      <c r="F124">
        <f>'M2'!F124/'M2'!F$2</f>
        <v>2.017029638846668</v>
      </c>
    </row>
    <row r="125" spans="2:6" x14ac:dyDescent="0.3">
      <c r="B125" s="5" t="s">
        <v>128</v>
      </c>
      <c r="C125">
        <f>'M2'!C125/'M2'!C$2</f>
        <v>2.2486914166919116</v>
      </c>
      <c r="E125">
        <f>'M2'!E125/'M2'!E$2</f>
        <v>1.5701110989035498</v>
      </c>
      <c r="F125">
        <f>'M2'!F125/'M2'!F$2</f>
        <v>2.0171717055585821</v>
      </c>
    </row>
    <row r="126" spans="2:6" x14ac:dyDescent="0.3">
      <c r="B126" s="5" t="s">
        <v>129</v>
      </c>
      <c r="C126">
        <f>'M2'!C126/'M2'!C$2</f>
        <v>2.2526208500033</v>
      </c>
      <c r="E126">
        <f>'M2'!E126/'M2'!E$2</f>
        <v>1.5729178676723703</v>
      </c>
      <c r="F126">
        <f>'M2'!F126/'M2'!F$2</f>
        <v>2.0422913232970372</v>
      </c>
    </row>
    <row r="127" spans="2:6" x14ac:dyDescent="0.3">
      <c r="B127" s="5" t="s">
        <v>130</v>
      </c>
      <c r="C127">
        <f>'M2'!C127/'M2'!C$2</f>
        <v>2.2983601728197574</v>
      </c>
      <c r="E127">
        <f>'M2'!E127/'M2'!E$2</f>
        <v>1.5663257846154282</v>
      </c>
      <c r="F127">
        <f>'M2'!F127/'M2'!F$2</f>
        <v>2.0577083761588777</v>
      </c>
    </row>
    <row r="128" spans="2:6" x14ac:dyDescent="0.3">
      <c r="B128" s="5" t="s">
        <v>131</v>
      </c>
      <c r="C128">
        <f>'M2'!C128/'M2'!C$2</f>
        <v>2.2922417811668701</v>
      </c>
      <c r="E128">
        <f>'M2'!E128/'M2'!E$2</f>
        <v>1.5730388877435286</v>
      </c>
      <c r="F128">
        <f>'M2'!F128/'M2'!F$2</f>
        <v>2.0780480071947394</v>
      </c>
    </row>
    <row r="129" spans="2:6" x14ac:dyDescent="0.3">
      <c r="B129" s="5" t="s">
        <v>132</v>
      </c>
      <c r="E129">
        <f>'M2'!E129/'M2'!E$2</f>
        <v>1.5767316225622952</v>
      </c>
      <c r="F129">
        <f>'M2'!F129/'M2'!F$2</f>
        <v>2.1075091989150074</v>
      </c>
    </row>
    <row r="130" spans="2:6" x14ac:dyDescent="0.3">
      <c r="B130" s="5" t="s">
        <v>133</v>
      </c>
      <c r="E130">
        <f>'M2'!E130/'M2'!E$2</f>
        <v>1.5830728736726294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M2</vt:lpstr>
      <vt:lpstr>M2 base month 2015-01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2026-02-10T16:39:48Z</dcterms:modified>
</cp:coreProperties>
</file>
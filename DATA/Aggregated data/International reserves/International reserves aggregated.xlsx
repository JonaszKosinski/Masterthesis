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jonas\Desktop\Masterproef\DATA\Aggregated data\International reserves\"/>
    </mc:Choice>
  </mc:AlternateContent>
  <xr:revisionPtr revIDLastSave="0" documentId="13_ncr:1_{1CC07282-48F7-460C-86E2-F377D88CC570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International reserves" sheetId="1" r:id="rId1"/>
    <sheet name="Base year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X8" i="2" l="1"/>
  <c r="Y8" i="2"/>
  <c r="Z8" i="2"/>
  <c r="X7" i="2"/>
  <c r="Y7" i="2"/>
  <c r="Z7" i="2"/>
  <c r="X6" i="2"/>
  <c r="Y6" i="2"/>
  <c r="Z6" i="2"/>
  <c r="X5" i="2"/>
  <c r="Y5" i="2"/>
  <c r="Z5" i="2"/>
  <c r="X4" i="2"/>
  <c r="Y4" i="2"/>
  <c r="Z4" i="2"/>
  <c r="K7" i="1"/>
  <c r="L7" i="1"/>
  <c r="M7" i="1"/>
  <c r="K6" i="1"/>
  <c r="L6" i="1"/>
  <c r="M6" i="1"/>
  <c r="K5" i="1"/>
  <c r="L5" i="1"/>
  <c r="M5" i="1"/>
  <c r="K4" i="1"/>
  <c r="L4" i="1"/>
  <c r="M4" i="1"/>
  <c r="K3" i="1"/>
  <c r="L3" i="1"/>
  <c r="M3" i="1"/>
  <c r="J4" i="1"/>
  <c r="J3" i="1"/>
  <c r="J7" i="1"/>
  <c r="J6" i="1"/>
  <c r="J5" i="1"/>
  <c r="D3" i="2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E3" i="2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D26" i="2"/>
  <c r="D27" i="2"/>
  <c r="D28" i="2"/>
  <c r="D29" i="2"/>
  <c r="D30" i="2"/>
  <c r="D31" i="2"/>
  <c r="D32" i="2"/>
  <c r="D33" i="2"/>
  <c r="D34" i="2"/>
  <c r="D35" i="2"/>
  <c r="D36" i="2"/>
  <c r="D37" i="2"/>
  <c r="D38" i="2"/>
  <c r="D39" i="2"/>
  <c r="D40" i="2"/>
  <c r="D41" i="2"/>
  <c r="D42" i="2"/>
  <c r="D43" i="2"/>
  <c r="D44" i="2"/>
  <c r="D45" i="2"/>
  <c r="D46" i="2"/>
  <c r="D47" i="2"/>
  <c r="D48" i="2"/>
  <c r="D49" i="2"/>
  <c r="D50" i="2"/>
  <c r="D51" i="2"/>
  <c r="D52" i="2"/>
  <c r="D53" i="2"/>
  <c r="D54" i="2"/>
  <c r="D55" i="2"/>
  <c r="D56" i="2"/>
  <c r="D57" i="2"/>
  <c r="D58" i="2"/>
  <c r="D59" i="2"/>
  <c r="D60" i="2"/>
  <c r="D61" i="2"/>
  <c r="D62" i="2"/>
  <c r="D63" i="2"/>
  <c r="D64" i="2"/>
  <c r="D65" i="2"/>
  <c r="D66" i="2"/>
  <c r="D67" i="2"/>
  <c r="D68" i="2"/>
  <c r="D69" i="2"/>
  <c r="D70" i="2"/>
  <c r="D71" i="2"/>
  <c r="D72" i="2"/>
  <c r="D73" i="2"/>
  <c r="D74" i="2"/>
  <c r="D75" i="2"/>
  <c r="D76" i="2"/>
  <c r="D77" i="2"/>
  <c r="D78" i="2"/>
  <c r="D79" i="2"/>
  <c r="D80" i="2"/>
  <c r="D81" i="2"/>
  <c r="D82" i="2"/>
  <c r="D83" i="2"/>
  <c r="D84" i="2"/>
  <c r="D85" i="2"/>
  <c r="D86" i="2"/>
  <c r="D87" i="2"/>
  <c r="D88" i="2"/>
  <c r="D89" i="2"/>
  <c r="D90" i="2"/>
  <c r="D91" i="2"/>
  <c r="D92" i="2"/>
  <c r="D93" i="2"/>
  <c r="D94" i="2"/>
  <c r="D95" i="2"/>
  <c r="D96" i="2"/>
  <c r="D97" i="2"/>
  <c r="D98" i="2"/>
  <c r="D99" i="2"/>
  <c r="D100" i="2"/>
  <c r="D101" i="2"/>
  <c r="D102" i="2"/>
  <c r="D103" i="2"/>
  <c r="D104" i="2"/>
  <c r="D105" i="2"/>
  <c r="D106" i="2"/>
  <c r="D107" i="2"/>
  <c r="D108" i="2"/>
  <c r="D109" i="2"/>
  <c r="D110" i="2"/>
  <c r="D111" i="2"/>
  <c r="D112" i="2"/>
  <c r="D113" i="2"/>
  <c r="D114" i="2"/>
  <c r="D115" i="2"/>
  <c r="D116" i="2"/>
  <c r="D117" i="2"/>
  <c r="D118" i="2"/>
  <c r="D119" i="2"/>
  <c r="D120" i="2"/>
  <c r="D121" i="2"/>
  <c r="D122" i="2"/>
  <c r="D123" i="2"/>
  <c r="D124" i="2"/>
  <c r="D125" i="2"/>
  <c r="D126" i="2"/>
  <c r="D127" i="2"/>
  <c r="D2" i="2"/>
  <c r="E2" i="2"/>
  <c r="F2" i="2"/>
  <c r="C3" i="2"/>
  <c r="W4" i="2" s="1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2" i="2"/>
  <c r="W7" i="2" s="1"/>
  <c r="W5" i="2" l="1"/>
  <c r="W6" i="2"/>
  <c r="W8" i="2" s="1"/>
</calcChain>
</file>

<file path=xl/sharedStrings.xml><?xml version="1.0" encoding="utf-8"?>
<sst xmlns="http://schemas.openxmlformats.org/spreadsheetml/2006/main" count="28" uniqueCount="10">
  <si>
    <t>Dates</t>
  </si>
  <si>
    <t>Indonesia</t>
  </si>
  <si>
    <t>Philippines</t>
  </si>
  <si>
    <t>Thailand</t>
  </si>
  <si>
    <t>Korea</t>
  </si>
  <si>
    <t>Min</t>
  </si>
  <si>
    <t>Max</t>
  </si>
  <si>
    <t>Mean</t>
  </si>
  <si>
    <t>Std dev</t>
  </si>
  <si>
    <t>CV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</si>
</sst>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nl-BE"/>
              <a:t>International</a:t>
            </a:r>
            <a:r>
              <a:rPr lang="nl-BE" baseline="0"/>
              <a:t> reserves with base month 2015-01</a:t>
            </a:r>
            <a:endParaRPr lang="nl-BE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nl-BE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'Base year'!$C$1</c:f>
              <c:strCache>
                <c:ptCount val="1"/>
                <c:pt idx="0">
                  <c:v>Indonesia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'Base year'!$B$2:$B$130</c:f>
              <c:numCache>
                <c:formatCode>yyyy\-mm\-dd</c:formatCode>
                <c:ptCount val="129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</c:numCache>
            </c:numRef>
          </c:cat>
          <c:val>
            <c:numRef>
              <c:f>'Base year'!$C$2:$C$130</c:f>
              <c:numCache>
                <c:formatCode>General</c:formatCode>
                <c:ptCount val="129"/>
                <c:pt idx="0">
                  <c:v>1</c:v>
                </c:pt>
                <c:pt idx="1">
                  <c:v>1.0127403680672897</c:v>
                </c:pt>
                <c:pt idx="2">
                  <c:v>0.97752515505911475</c:v>
                </c:pt>
                <c:pt idx="3">
                  <c:v>0.97104173827091189</c:v>
                </c:pt>
                <c:pt idx="4">
                  <c:v>0.97056961223967009</c:v>
                </c:pt>
                <c:pt idx="5">
                  <c:v>0.94613356249956604</c:v>
                </c:pt>
                <c:pt idx="6">
                  <c:v>0.94379242862213808</c:v>
                </c:pt>
                <c:pt idx="7">
                  <c:v>0.92276943043535342</c:v>
                </c:pt>
                <c:pt idx="8">
                  <c:v>0.89024067127240925</c:v>
                </c:pt>
                <c:pt idx="9">
                  <c:v>0.88087764870614349</c:v>
                </c:pt>
                <c:pt idx="10">
                  <c:v>0.87860493106795712</c:v>
                </c:pt>
                <c:pt idx="11">
                  <c:v>0.92978533342203051</c:v>
                </c:pt>
                <c:pt idx="12">
                  <c:v>0.89436412865967319</c:v>
                </c:pt>
                <c:pt idx="13">
                  <c:v>0.91342818626380251</c:v>
                </c:pt>
                <c:pt idx="14">
                  <c:v>0.94036962127108359</c:v>
                </c:pt>
                <c:pt idx="15">
                  <c:v>0.94146460464176318</c:v>
                </c:pt>
                <c:pt idx="16">
                  <c:v>0.90515677561344055</c:v>
                </c:pt>
                <c:pt idx="17">
                  <c:v>0.95867925271228849</c:v>
                </c:pt>
                <c:pt idx="18">
                  <c:v>0.97280881419212006</c:v>
                </c:pt>
                <c:pt idx="19">
                  <c:v>0.99242954647032244</c:v>
                </c:pt>
                <c:pt idx="20">
                  <c:v>1.0116196707419327</c:v>
                </c:pt>
                <c:pt idx="21">
                  <c:v>1.0070147550676349</c:v>
                </c:pt>
                <c:pt idx="22">
                  <c:v>0.97680871105614875</c:v>
                </c:pt>
                <c:pt idx="23">
                  <c:v>1.0218483908472082</c:v>
                </c:pt>
                <c:pt idx="24">
                  <c:v>1.0255506361767321</c:v>
                </c:pt>
                <c:pt idx="25">
                  <c:v>1.0508062218102887</c:v>
                </c:pt>
                <c:pt idx="26">
                  <c:v>1.0684137805749772</c:v>
                </c:pt>
                <c:pt idx="27">
                  <c:v>1.081182061662775</c:v>
                </c:pt>
                <c:pt idx="28">
                  <c:v>1.0960972930407789</c:v>
                </c:pt>
                <c:pt idx="29">
                  <c:v>1.079971678999003</c:v>
                </c:pt>
                <c:pt idx="30">
                  <c:v>1.1208115904964364</c:v>
                </c:pt>
                <c:pt idx="31">
                  <c:v>1.1289333218371935</c:v>
                </c:pt>
                <c:pt idx="32">
                  <c:v>1.1351703993240385</c:v>
                </c:pt>
                <c:pt idx="33">
                  <c:v>1.1097206620626323</c:v>
                </c:pt>
                <c:pt idx="34">
                  <c:v>1.1041845634469931</c:v>
                </c:pt>
                <c:pt idx="35">
                  <c:v>1.1421724391415364</c:v>
                </c:pt>
                <c:pt idx="36">
                  <c:v>1.1569453254760689</c:v>
                </c:pt>
                <c:pt idx="37">
                  <c:v>1.1219620279995255</c:v>
                </c:pt>
                <c:pt idx="38">
                  <c:v>1.1033290982772375</c:v>
                </c:pt>
                <c:pt idx="39">
                  <c:v>1.0933772881216237</c:v>
                </c:pt>
                <c:pt idx="40">
                  <c:v>1.0763610746896344</c:v>
                </c:pt>
                <c:pt idx="41">
                  <c:v>1.0505560431478995</c:v>
                </c:pt>
                <c:pt idx="42">
                  <c:v>1.0374395278590729</c:v>
                </c:pt>
                <c:pt idx="43">
                  <c:v>1.0345322611509418</c:v>
                </c:pt>
                <c:pt idx="44">
                  <c:v>1.0069734944350732</c:v>
                </c:pt>
                <c:pt idx="45">
                  <c:v>1.0090210684637586</c:v>
                </c:pt>
                <c:pt idx="46">
                  <c:v>1.0274473059128606</c:v>
                </c:pt>
                <c:pt idx="47">
                  <c:v>1.057243796209749</c:v>
                </c:pt>
                <c:pt idx="48">
                  <c:v>1.0513693751704494</c:v>
                </c:pt>
                <c:pt idx="49">
                  <c:v>1.0798371128310582</c:v>
                </c:pt>
                <c:pt idx="50">
                  <c:v>1.0918585974875774</c:v>
                </c:pt>
                <c:pt idx="51">
                  <c:v>1.0897875853041714</c:v>
                </c:pt>
                <c:pt idx="52">
                  <c:v>1.0544433491726712</c:v>
                </c:pt>
                <c:pt idx="53">
                  <c:v>1.0829698170660258</c:v>
                </c:pt>
                <c:pt idx="54">
                  <c:v>1.1011330842788138</c:v>
                </c:pt>
                <c:pt idx="55">
                  <c:v>1.1033857394254172</c:v>
                </c:pt>
                <c:pt idx="56">
                  <c:v>1.0855483130565982</c:v>
                </c:pt>
                <c:pt idx="57">
                  <c:v>1.1066804039800464</c:v>
                </c:pt>
                <c:pt idx="58">
                  <c:v>1.1070271244347685</c:v>
                </c:pt>
                <c:pt idx="59">
                  <c:v>1.1285049375061886</c:v>
                </c:pt>
                <c:pt idx="60">
                  <c:v>1.1500790747230476</c:v>
                </c:pt>
                <c:pt idx="61">
                  <c:v>1.1371746675277909</c:v>
                </c:pt>
                <c:pt idx="62">
                  <c:v>1.0522919069150807</c:v>
                </c:pt>
                <c:pt idx="63">
                  <c:v>1.1125128944708964</c:v>
                </c:pt>
                <c:pt idx="64">
                  <c:v>1.1363536852558815</c:v>
                </c:pt>
                <c:pt idx="65">
                  <c:v>1.1455813485165447</c:v>
                </c:pt>
                <c:pt idx="66">
                  <c:v>1.1716239451591894</c:v>
                </c:pt>
                <c:pt idx="67">
                  <c:v>1.1890327908095566</c:v>
                </c:pt>
                <c:pt idx="68">
                  <c:v>1.173768335472551</c:v>
                </c:pt>
                <c:pt idx="69">
                  <c:v>1.1599181613456029</c:v>
                </c:pt>
                <c:pt idx="70">
                  <c:v>1.1620523918772125</c:v>
                </c:pt>
                <c:pt idx="71">
                  <c:v>1.1807225289674255</c:v>
                </c:pt>
                <c:pt idx="72">
                  <c:v>1.2006520141227019</c:v>
                </c:pt>
                <c:pt idx="73">
                  <c:v>1.2091185783549021</c:v>
                </c:pt>
                <c:pt idx="74">
                  <c:v>1.1961238151544611</c:v>
                </c:pt>
                <c:pt idx="75">
                  <c:v>1.20947591224252</c:v>
                </c:pt>
                <c:pt idx="76">
                  <c:v>1.1847439161077049</c:v>
                </c:pt>
                <c:pt idx="77">
                  <c:v>1.1943650857131503</c:v>
                </c:pt>
                <c:pt idx="78">
                  <c:v>1.1949922603760865</c:v>
                </c:pt>
                <c:pt idx="79">
                  <c:v>1.2623908623452751</c:v>
                </c:pt>
                <c:pt idx="80">
                  <c:v>1.2826767061419633</c:v>
                </c:pt>
                <c:pt idx="81">
                  <c:v>1.2690184599887873</c:v>
                </c:pt>
                <c:pt idx="82">
                  <c:v>1.2726268260093943</c:v>
                </c:pt>
                <c:pt idx="83">
                  <c:v>1.2632963412390701</c:v>
                </c:pt>
                <c:pt idx="84">
                  <c:v>1.2319399754146589</c:v>
                </c:pt>
                <c:pt idx="85">
                  <c:v>1.2299300388285384</c:v>
                </c:pt>
                <c:pt idx="86">
                  <c:v>1.2088155705285335</c:v>
                </c:pt>
                <c:pt idx="87">
                  <c:v>1.1782495891078024</c:v>
                </c:pt>
                <c:pt idx="88">
                  <c:v>1.1783246101710119</c:v>
                </c:pt>
                <c:pt idx="89">
                  <c:v>1.1863070101341555</c:v>
                </c:pt>
                <c:pt idx="90">
                  <c:v>1.1502467847764803</c:v>
                </c:pt>
                <c:pt idx="91">
                  <c:v>1.1509883182872844</c:v>
                </c:pt>
                <c:pt idx="92">
                  <c:v>1.1396662209312027</c:v>
                </c:pt>
                <c:pt idx="93">
                  <c:v>1.1347972966965139</c:v>
                </c:pt>
                <c:pt idx="94">
                  <c:v>1.1665376312326003</c:v>
                </c:pt>
                <c:pt idx="95">
                  <c:v>1.1942758988179922</c:v>
                </c:pt>
                <c:pt idx="96">
                  <c:v>1.2114085725819572</c:v>
                </c:pt>
                <c:pt idx="97">
                  <c:v>1.2222811829239204</c:v>
                </c:pt>
                <c:pt idx="98">
                  <c:v>1.2622755076788996</c:v>
                </c:pt>
                <c:pt idx="99">
                  <c:v>1.2526874252665903</c:v>
                </c:pt>
                <c:pt idx="100">
                  <c:v>1.2093875719234721</c:v>
                </c:pt>
                <c:pt idx="101">
                  <c:v>1.1942604098091338</c:v>
                </c:pt>
                <c:pt idx="102">
                  <c:v>1.1950922125401851</c:v>
                </c:pt>
                <c:pt idx="103">
                  <c:v>1.1900588045343368</c:v>
                </c:pt>
                <c:pt idx="104">
                  <c:v>1.1717939846570706</c:v>
                </c:pt>
                <c:pt idx="105">
                  <c:v>1.1534793285326401</c:v>
                </c:pt>
                <c:pt idx="106">
                  <c:v>1.1967068095709046</c:v>
                </c:pt>
                <c:pt idx="107">
                  <c:v>1.2708515247017707</c:v>
                </c:pt>
                <c:pt idx="108">
                  <c:v>1.2596510494755377</c:v>
                </c:pt>
                <c:pt idx="109">
                  <c:v>1.2505923532417211</c:v>
                </c:pt>
                <c:pt idx="110">
                  <c:v>1.2140621560684575</c:v>
                </c:pt>
                <c:pt idx="111">
                  <c:v>1.1737406873678129</c:v>
                </c:pt>
                <c:pt idx="112">
                  <c:v>1.1981122217073517</c:v>
                </c:pt>
                <c:pt idx="113">
                  <c:v>1.2092203954914171</c:v>
                </c:pt>
                <c:pt idx="114">
                  <c:v>1.2544480869816672</c:v>
                </c:pt>
                <c:pt idx="115">
                  <c:v>1.295344860333677</c:v>
                </c:pt>
                <c:pt idx="116">
                  <c:v>1.2896050178999949</c:v>
                </c:pt>
                <c:pt idx="117">
                  <c:v>1.2984647133165426</c:v>
                </c:pt>
                <c:pt idx="118">
                  <c:v>1.2921801857724637</c:v>
                </c:pt>
                <c:pt idx="119">
                  <c:v>1.3425950146077943</c:v>
                </c:pt>
                <c:pt idx="120">
                  <c:v>1.3416009963714499</c:v>
                </c:pt>
                <c:pt idx="121">
                  <c:v>1.3258921136031823</c:v>
                </c:pt>
                <c:pt idx="122">
                  <c:v>1.3454536342931849</c:v>
                </c:pt>
                <c:pt idx="123">
                  <c:v>1.2975067258885595</c:v>
                </c:pt>
                <c:pt idx="124">
                  <c:v>1.297349670556684</c:v>
                </c:pt>
                <c:pt idx="125">
                  <c:v>1.2987736313175702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6E6-417D-9580-865281B72EBF}"/>
            </c:ext>
          </c:extLst>
        </c:ser>
        <c:ser>
          <c:idx val="1"/>
          <c:order val="1"/>
          <c:tx>
            <c:strRef>
              <c:f>'Base year'!$D$1</c:f>
              <c:strCache>
                <c:ptCount val="1"/>
                <c:pt idx="0">
                  <c:v>Philippines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'Base year'!$B$2:$B$130</c:f>
              <c:numCache>
                <c:formatCode>yyyy\-mm\-dd</c:formatCode>
                <c:ptCount val="129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</c:numCache>
            </c:numRef>
          </c:cat>
          <c:val>
            <c:numRef>
              <c:f>'Base year'!$D$2:$D$130</c:f>
              <c:numCache>
                <c:formatCode>General</c:formatCode>
                <c:ptCount val="129"/>
                <c:pt idx="0">
                  <c:v>1</c:v>
                </c:pt>
                <c:pt idx="1">
                  <c:v>1.0014993627272519</c:v>
                </c:pt>
                <c:pt idx="2">
                  <c:v>0.99681006445922027</c:v>
                </c:pt>
                <c:pt idx="3">
                  <c:v>1.0016617470925058</c:v>
                </c:pt>
                <c:pt idx="4">
                  <c:v>0.99614763134636775</c:v>
                </c:pt>
                <c:pt idx="5">
                  <c:v>0.99911136081518004</c:v>
                </c:pt>
                <c:pt idx="6">
                  <c:v>0.99524751273969159</c:v>
                </c:pt>
                <c:pt idx="7">
                  <c:v>0.99429415956556233</c:v>
                </c:pt>
                <c:pt idx="8">
                  <c:v>0.99794991290926027</c:v>
                </c:pt>
                <c:pt idx="9">
                  <c:v>1.0047305870087497</c:v>
                </c:pt>
                <c:pt idx="10">
                  <c:v>0.99327518055983288</c:v>
                </c:pt>
                <c:pt idx="11">
                  <c:v>0.99939142418997451</c:v>
                </c:pt>
                <c:pt idx="12">
                  <c:v>0.99970810523639431</c:v>
                </c:pt>
                <c:pt idx="13">
                  <c:v>1.0143912398318786</c:v>
                </c:pt>
                <c:pt idx="14">
                  <c:v>1.0280124879931485</c:v>
                </c:pt>
                <c:pt idx="15">
                  <c:v>1.0374186835441721</c:v>
                </c:pt>
                <c:pt idx="16">
                  <c:v>1.02739497376013</c:v>
                </c:pt>
                <c:pt idx="17">
                  <c:v>1.056597608249271</c:v>
                </c:pt>
                <c:pt idx="18">
                  <c:v>1.0593468711652692</c:v>
                </c:pt>
                <c:pt idx="19">
                  <c:v>1.0628870778215029</c:v>
                </c:pt>
                <c:pt idx="20">
                  <c:v>1.0671877153256004</c:v>
                </c:pt>
                <c:pt idx="21">
                  <c:v>1.0543856189116487</c:v>
                </c:pt>
                <c:pt idx="22">
                  <c:v>1.0091070781073148</c:v>
                </c:pt>
                <c:pt idx="23">
                  <c:v>0.999700186828686</c:v>
                </c:pt>
                <c:pt idx="24">
                  <c:v>1.0081825304900482</c:v>
                </c:pt>
                <c:pt idx="25">
                  <c:v>1.0089214223886331</c:v>
                </c:pt>
                <c:pt idx="26">
                  <c:v>1.0022028136658407</c:v>
                </c:pt>
                <c:pt idx="27">
                  <c:v>1.0160979002703701</c:v>
                </c:pt>
                <c:pt idx="28">
                  <c:v>1.0180948075632277</c:v>
                </c:pt>
                <c:pt idx="29">
                  <c:v>1.0074981357971422</c:v>
                </c:pt>
                <c:pt idx="30">
                  <c:v>1.0043271314421844</c:v>
                </c:pt>
                <c:pt idx="31">
                  <c:v>1.0125055191976351</c:v>
                </c:pt>
                <c:pt idx="32">
                  <c:v>1.0030507618344093</c:v>
                </c:pt>
                <c:pt idx="33">
                  <c:v>0.99632191676048698</c:v>
                </c:pt>
                <c:pt idx="34">
                  <c:v>0.99496826582670128</c:v>
                </c:pt>
                <c:pt idx="35">
                  <c:v>1.0105792341965243</c:v>
                </c:pt>
                <c:pt idx="36">
                  <c:v>1.0062938082309667</c:v>
                </c:pt>
                <c:pt idx="37">
                  <c:v>0.99647654991663337</c:v>
                </c:pt>
                <c:pt idx="38">
                  <c:v>0.99746288550557527</c:v>
                </c:pt>
                <c:pt idx="39">
                  <c:v>0.98628276592339648</c:v>
                </c:pt>
                <c:pt idx="40">
                  <c:v>0.98124769919602095</c:v>
                </c:pt>
                <c:pt idx="41">
                  <c:v>0.9604677869937619</c:v>
                </c:pt>
                <c:pt idx="42">
                  <c:v>0.95051368512831047</c:v>
                </c:pt>
                <c:pt idx="43">
                  <c:v>0.96553283133156775</c:v>
                </c:pt>
                <c:pt idx="44">
                  <c:v>0.92842565672630739</c:v>
                </c:pt>
                <c:pt idx="45">
                  <c:v>0.92560233116155355</c:v>
                </c:pt>
                <c:pt idx="46">
                  <c:v>0.9376351813619318</c:v>
                </c:pt>
                <c:pt idx="47">
                  <c:v>0.98113611893731179</c:v>
                </c:pt>
                <c:pt idx="48">
                  <c:v>1.0219422308550163</c:v>
                </c:pt>
                <c:pt idx="49">
                  <c:v>1.0255816401163766</c:v>
                </c:pt>
                <c:pt idx="50">
                  <c:v>1.0358943632085655</c:v>
                </c:pt>
                <c:pt idx="51">
                  <c:v>1.0391841138867857</c:v>
                </c:pt>
                <c:pt idx="52">
                  <c:v>1.0575037639811917</c:v>
                </c:pt>
                <c:pt idx="53">
                  <c:v>1.0522271194765249</c:v>
                </c:pt>
                <c:pt idx="54">
                  <c:v>1.05525261850517</c:v>
                </c:pt>
                <c:pt idx="55">
                  <c:v>1.0658483827453351</c:v>
                </c:pt>
                <c:pt idx="56">
                  <c:v>1.0602826113877275</c:v>
                </c:pt>
                <c:pt idx="57">
                  <c:v>1.0634083932076397</c:v>
                </c:pt>
                <c:pt idx="58">
                  <c:v>1.0682837640664182</c:v>
                </c:pt>
                <c:pt idx="59">
                  <c:v>1.0882545079484911</c:v>
                </c:pt>
                <c:pt idx="60">
                  <c:v>1.0762248736012685</c:v>
                </c:pt>
                <c:pt idx="61">
                  <c:v>1.092558949717557</c:v>
                </c:pt>
                <c:pt idx="62">
                  <c:v>1.1009157054156831</c:v>
                </c:pt>
                <c:pt idx="63">
                  <c:v>1.1267000609509199</c:v>
                </c:pt>
                <c:pt idx="64">
                  <c:v>1.1557574541230342</c:v>
                </c:pt>
                <c:pt idx="65">
                  <c:v>1.1580093868175829</c:v>
                </c:pt>
                <c:pt idx="66">
                  <c:v>1.221573646954309</c:v>
                </c:pt>
                <c:pt idx="67">
                  <c:v>1.225964006856044</c:v>
                </c:pt>
                <c:pt idx="68">
                  <c:v>1.2444042825841999</c:v>
                </c:pt>
                <c:pt idx="69">
                  <c:v>1.2860230272878308</c:v>
                </c:pt>
                <c:pt idx="70">
                  <c:v>1.2985709625674189</c:v>
                </c:pt>
                <c:pt idx="71">
                  <c:v>1.3642580473413326</c:v>
                </c:pt>
                <c:pt idx="72">
                  <c:v>1.3463727845681179</c:v>
                </c:pt>
                <c:pt idx="73">
                  <c:v>1.3028546475632379</c:v>
                </c:pt>
                <c:pt idx="74">
                  <c:v>1.2944620175359467</c:v>
                </c:pt>
                <c:pt idx="75">
                  <c:v>1.3343714365054087</c:v>
                </c:pt>
                <c:pt idx="76">
                  <c:v>1.3287417809596613</c:v>
                </c:pt>
                <c:pt idx="77">
                  <c:v>1.3103069313610587</c:v>
                </c:pt>
                <c:pt idx="78">
                  <c:v>1.327512301615789</c:v>
                </c:pt>
                <c:pt idx="79">
                  <c:v>1.3375872433005651</c:v>
                </c:pt>
                <c:pt idx="80">
                  <c:v>1.3206334450833048</c:v>
                </c:pt>
                <c:pt idx="81">
                  <c:v>1.3366480561160869</c:v>
                </c:pt>
                <c:pt idx="82">
                  <c:v>1.3346010007906826</c:v>
                </c:pt>
                <c:pt idx="83">
                  <c:v>1.3478670009276204</c:v>
                </c:pt>
                <c:pt idx="84">
                  <c:v>1.3341665288537872</c:v>
                </c:pt>
                <c:pt idx="85">
                  <c:v>1.3355618032274148</c:v>
                </c:pt>
                <c:pt idx="86">
                  <c:v>1.3294628989200021</c:v>
                </c:pt>
                <c:pt idx="87">
                  <c:v>1.3058188212155568</c:v>
                </c:pt>
                <c:pt idx="88">
                  <c:v>1.2840936943784853</c:v>
                </c:pt>
                <c:pt idx="89">
                  <c:v>1.2494881471807324</c:v>
                </c:pt>
                <c:pt idx="90">
                  <c:v>1.2369120909447224</c:v>
                </c:pt>
                <c:pt idx="91">
                  <c:v>1.2072187746908134</c:v>
                </c:pt>
                <c:pt idx="92">
                  <c:v>1.1521882334274467</c:v>
                </c:pt>
                <c:pt idx="93">
                  <c:v>1.1649224610313285</c:v>
                </c:pt>
                <c:pt idx="94">
                  <c:v>1.1784925618446316</c:v>
                </c:pt>
                <c:pt idx="95">
                  <c:v>1.1912035689385452</c:v>
                </c:pt>
                <c:pt idx="96">
                  <c:v>1.2471569339998219</c:v>
                </c:pt>
                <c:pt idx="97">
                  <c:v>1.2168114736410449</c:v>
                </c:pt>
                <c:pt idx="98">
                  <c:v>1.2580938029338717</c:v>
                </c:pt>
                <c:pt idx="99">
                  <c:v>1.2607246714375637</c:v>
                </c:pt>
                <c:pt idx="100">
                  <c:v>1.2462044839669799</c:v>
                </c:pt>
                <c:pt idx="101">
                  <c:v>1.2313142050573775</c:v>
                </c:pt>
                <c:pt idx="102">
                  <c:v>1.2383104365455091</c:v>
                </c:pt>
                <c:pt idx="103">
                  <c:v>1.2335586896374231</c:v>
                </c:pt>
                <c:pt idx="104">
                  <c:v>1.2155704670518293</c:v>
                </c:pt>
                <c:pt idx="105">
                  <c:v>1.2517366105274845</c:v>
                </c:pt>
                <c:pt idx="106">
                  <c:v>1.2726120752500154</c:v>
                </c:pt>
                <c:pt idx="107">
                  <c:v>1.285411147991576</c:v>
                </c:pt>
                <c:pt idx="108">
                  <c:v>1.2794231499320317</c:v>
                </c:pt>
                <c:pt idx="109">
                  <c:v>1.263622027694826</c:v>
                </c:pt>
                <c:pt idx="110">
                  <c:v>1.2893049082762009</c:v>
                </c:pt>
                <c:pt idx="111">
                  <c:v>1.2717152973965362</c:v>
                </c:pt>
                <c:pt idx="112">
                  <c:v>1.301050964537948</c:v>
                </c:pt>
                <c:pt idx="113">
                  <c:v>1.3031975043894581</c:v>
                </c:pt>
                <c:pt idx="114">
                  <c:v>1.3223875608152791</c:v>
                </c:pt>
                <c:pt idx="115">
                  <c:v>1.3362601696223138</c:v>
                </c:pt>
                <c:pt idx="116">
                  <c:v>1.3963394864484111</c:v>
                </c:pt>
                <c:pt idx="117">
                  <c:v>1.3762295040874215</c:v>
                </c:pt>
                <c:pt idx="118">
                  <c:v>1.3440711073926783</c:v>
                </c:pt>
                <c:pt idx="119">
                  <c:v>1.3164243010815064</c:v>
                </c:pt>
                <c:pt idx="120">
                  <c:v>1.2794390077925979</c:v>
                </c:pt>
                <c:pt idx="121">
                  <c:v>1.3305311684687899</c:v>
                </c:pt>
                <c:pt idx="122">
                  <c:v>1.3215433056426433</c:v>
                </c:pt>
                <c:pt idx="123">
                  <c:v>1.3046705025456844</c:v>
                </c:pt>
                <c:pt idx="124">
                  <c:v>1.3030438044868489</c:v>
                </c:pt>
                <c:pt idx="125">
                  <c:v>1.3132229073771124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6E6-417D-9580-865281B72EBF}"/>
            </c:ext>
          </c:extLst>
        </c:ser>
        <c:ser>
          <c:idx val="2"/>
          <c:order val="2"/>
          <c:tx>
            <c:strRef>
              <c:f>'Base year'!$E$1</c:f>
              <c:strCache>
                <c:ptCount val="1"/>
                <c:pt idx="0">
                  <c:v>Thailand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'Base year'!$B$2:$B$130</c:f>
              <c:numCache>
                <c:formatCode>yyyy\-mm\-dd</c:formatCode>
                <c:ptCount val="129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</c:numCache>
            </c:numRef>
          </c:cat>
          <c:val>
            <c:numRef>
              <c:f>'Base year'!$E$2:$E$130</c:f>
              <c:numCache>
                <c:formatCode>General</c:formatCode>
                <c:ptCount val="129"/>
                <c:pt idx="0">
                  <c:v>1</c:v>
                </c:pt>
                <c:pt idx="1">
                  <c:v>1.009730734207245</c:v>
                </c:pt>
                <c:pt idx="2">
                  <c:v>1.0057660702877906</c:v>
                </c:pt>
                <c:pt idx="3">
                  <c:v>1.0365472268231068</c:v>
                </c:pt>
                <c:pt idx="4">
                  <c:v>1.0199157126090919</c:v>
                </c:pt>
                <c:pt idx="5">
                  <c:v>1.0312113373689005</c:v>
                </c:pt>
                <c:pt idx="6">
                  <c:v>1.009786324431627</c:v>
                </c:pt>
                <c:pt idx="7">
                  <c:v>1.0026707113702147</c:v>
                </c:pt>
                <c:pt idx="8">
                  <c:v>1.0007104482148428</c:v>
                </c:pt>
                <c:pt idx="9">
                  <c:v>1.0184716535859137</c:v>
                </c:pt>
                <c:pt idx="10">
                  <c:v>1.0016597285048077</c:v>
                </c:pt>
                <c:pt idx="11">
                  <c:v>1.0070191665957313</c:v>
                </c:pt>
                <c:pt idx="12">
                  <c:v>1.0301836903042862</c:v>
                </c:pt>
                <c:pt idx="13">
                  <c:v>1.0807365009852787</c:v>
                </c:pt>
                <c:pt idx="14">
                  <c:v>1.1264309576812339</c:v>
                </c:pt>
                <c:pt idx="15">
                  <c:v>1.1489182972328229</c:v>
                </c:pt>
                <c:pt idx="16">
                  <c:v>1.1290284495197975</c:v>
                </c:pt>
                <c:pt idx="17">
                  <c:v>1.149565241337174</c:v>
                </c:pt>
                <c:pt idx="18">
                  <c:v>1.1594400340078346</c:v>
                </c:pt>
                <c:pt idx="19">
                  <c:v>1.16329390352175</c:v>
                </c:pt>
                <c:pt idx="20">
                  <c:v>1.1611455729753271</c:v>
                </c:pt>
                <c:pt idx="21">
                  <c:v>1.159810056438876</c:v>
                </c:pt>
                <c:pt idx="22">
                  <c:v>1.1240629685398578</c:v>
                </c:pt>
                <c:pt idx="23">
                  <c:v>1.1057129829103167</c:v>
                </c:pt>
                <c:pt idx="24">
                  <c:v>1.1527341414890884</c:v>
                </c:pt>
                <c:pt idx="25">
                  <c:v>1.1774456047402504</c:v>
                </c:pt>
                <c:pt idx="26">
                  <c:v>1.1637220897986726</c:v>
                </c:pt>
                <c:pt idx="27">
                  <c:v>1.1868893801503393</c:v>
                </c:pt>
                <c:pt idx="28">
                  <c:v>1.1848187729731909</c:v>
                </c:pt>
                <c:pt idx="29">
                  <c:v>1.1938715509370201</c:v>
                </c:pt>
                <c:pt idx="30">
                  <c:v>1.2249237741567351</c:v>
                </c:pt>
                <c:pt idx="31">
                  <c:v>1.2669571899295993</c:v>
                </c:pt>
                <c:pt idx="32">
                  <c:v>1.2823357365167487</c:v>
                </c:pt>
                <c:pt idx="33">
                  <c:v>1.2901935176779809</c:v>
                </c:pt>
                <c:pt idx="34">
                  <c:v>1.30658298279</c:v>
                </c:pt>
                <c:pt idx="35">
                  <c:v>1.3032967898382615</c:v>
                </c:pt>
                <c:pt idx="36">
                  <c:v>1.3811669198788519</c:v>
                </c:pt>
                <c:pt idx="37">
                  <c:v>1.3687479736751977</c:v>
                </c:pt>
                <c:pt idx="38">
                  <c:v>1.3872765686367803</c:v>
                </c:pt>
                <c:pt idx="39">
                  <c:v>1.384300046691928</c:v>
                </c:pt>
                <c:pt idx="40">
                  <c:v>1.3675798068767295</c:v>
                </c:pt>
                <c:pt idx="41">
                  <c:v>1.330502542705871</c:v>
                </c:pt>
                <c:pt idx="42">
                  <c:v>1.322241410715183</c:v>
                </c:pt>
                <c:pt idx="43">
                  <c:v>1.3159935584827498</c:v>
                </c:pt>
                <c:pt idx="44">
                  <c:v>1.3154877131770901</c:v>
                </c:pt>
                <c:pt idx="45">
                  <c:v>1.2982926401952968</c:v>
                </c:pt>
                <c:pt idx="46">
                  <c:v>1.3070975140682193</c:v>
                </c:pt>
                <c:pt idx="47">
                  <c:v>1.323105697155138</c:v>
                </c:pt>
                <c:pt idx="48">
                  <c:v>1.3505770477614607</c:v>
                </c:pt>
                <c:pt idx="49">
                  <c:v>1.3674982874157438</c:v>
                </c:pt>
                <c:pt idx="50">
                  <c:v>1.3651971480928082</c:v>
                </c:pt>
                <c:pt idx="51">
                  <c:v>1.3543715309592834</c:v>
                </c:pt>
                <c:pt idx="52">
                  <c:v>1.3508665158395787</c:v>
                </c:pt>
                <c:pt idx="53">
                  <c:v>1.3885229091882856</c:v>
                </c:pt>
                <c:pt idx="54">
                  <c:v>1.4049778729674582</c:v>
                </c:pt>
                <c:pt idx="55">
                  <c:v>1.4165837477989907</c:v>
                </c:pt>
                <c:pt idx="56">
                  <c:v>1.4189063768614441</c:v>
                </c:pt>
                <c:pt idx="57">
                  <c:v>1.433396123263859</c:v>
                </c:pt>
                <c:pt idx="58">
                  <c:v>1.422159820479606</c:v>
                </c:pt>
                <c:pt idx="59">
                  <c:v>1.4433297875263129</c:v>
                </c:pt>
                <c:pt idx="60">
                  <c:v>1.4818235729703086</c:v>
                </c:pt>
                <c:pt idx="61">
                  <c:v>1.4763325584802405</c:v>
                </c:pt>
                <c:pt idx="62">
                  <c:v>1.4571117236759217</c:v>
                </c:pt>
                <c:pt idx="63">
                  <c:v>1.5165637957983185</c:v>
                </c:pt>
                <c:pt idx="64">
                  <c:v>1.5264520999818496</c:v>
                </c:pt>
                <c:pt idx="65">
                  <c:v>1.5543580709188427</c:v>
                </c:pt>
                <c:pt idx="66">
                  <c:v>1.6108008074222728</c:v>
                </c:pt>
                <c:pt idx="67">
                  <c:v>1.6375841646613329</c:v>
                </c:pt>
                <c:pt idx="68">
                  <c:v>1.6152892033168063</c:v>
                </c:pt>
                <c:pt idx="69">
                  <c:v>1.5989357045652377</c:v>
                </c:pt>
                <c:pt idx="70">
                  <c:v>1.6309924122560746</c:v>
                </c:pt>
                <c:pt idx="71">
                  <c:v>1.6608504107596422</c:v>
                </c:pt>
                <c:pt idx="72">
                  <c:v>1.6525135499563417</c:v>
                </c:pt>
                <c:pt idx="73">
                  <c:v>1.6337115720510109</c:v>
                </c:pt>
                <c:pt idx="74">
                  <c:v>1.5797858373737583</c:v>
                </c:pt>
                <c:pt idx="75">
                  <c:v>1.6109069049685758</c:v>
                </c:pt>
                <c:pt idx="76">
                  <c:v>1.6199939764388813</c:v>
                </c:pt>
                <c:pt idx="77">
                  <c:v>1.5861792922425064</c:v>
                </c:pt>
                <c:pt idx="78">
                  <c:v>1.5957656462836487</c:v>
                </c:pt>
                <c:pt idx="79">
                  <c:v>1.6214625492068389</c:v>
                </c:pt>
                <c:pt idx="80">
                  <c:v>1.574223469227626</c:v>
                </c:pt>
                <c:pt idx="81">
                  <c:v>1.5834195335684207</c:v>
                </c:pt>
                <c:pt idx="82">
                  <c:v>1.5635821877339784</c:v>
                </c:pt>
                <c:pt idx="83">
                  <c:v>1.5827563756486249</c:v>
                </c:pt>
                <c:pt idx="84">
                  <c:v>1.5620109274682044</c:v>
                </c:pt>
                <c:pt idx="85">
                  <c:v>1.5766821141863101</c:v>
                </c:pt>
                <c:pt idx="86">
                  <c:v>1.5598106097674984</c:v>
                </c:pt>
                <c:pt idx="87">
                  <c:v>1.4706606827393189</c:v>
                </c:pt>
                <c:pt idx="88">
                  <c:v>1.4798186574819263</c:v>
                </c:pt>
                <c:pt idx="89">
                  <c:v>1.4302418927544898</c:v>
                </c:pt>
                <c:pt idx="90">
                  <c:v>1.4156149723261697</c:v>
                </c:pt>
                <c:pt idx="91">
                  <c:v>1.3834530678565549</c:v>
                </c:pt>
                <c:pt idx="92">
                  <c:v>1.2832369544252167</c:v>
                </c:pt>
                <c:pt idx="93">
                  <c:v>1.2990795249686646</c:v>
                </c:pt>
                <c:pt idx="94">
                  <c:v>1.3556327985154837</c:v>
                </c:pt>
                <c:pt idx="95">
                  <c:v>1.3938254059035402</c:v>
                </c:pt>
                <c:pt idx="96">
                  <c:v>1.4507948340467733</c:v>
                </c:pt>
                <c:pt idx="97">
                  <c:v>1.3989619040320993</c:v>
                </c:pt>
                <c:pt idx="98">
                  <c:v>1.4443280953058366</c:v>
                </c:pt>
                <c:pt idx="99">
                  <c:v>1.437660807109578</c:v>
                </c:pt>
                <c:pt idx="100">
                  <c:v>1.420525442146565</c:v>
                </c:pt>
                <c:pt idx="101">
                  <c:v>1.4040886223989615</c:v>
                </c:pt>
                <c:pt idx="102">
                  <c:v>1.4201114751284254</c:v>
                </c:pt>
                <c:pt idx="103">
                  <c:v>1.3957570375197341</c:v>
                </c:pt>
                <c:pt idx="104">
                  <c:v>1.3624123609496432</c:v>
                </c:pt>
                <c:pt idx="105">
                  <c:v>1.3571053603967649</c:v>
                </c:pt>
                <c:pt idx="106">
                  <c:v>1.4096168257196924</c:v>
                </c:pt>
                <c:pt idx="107">
                  <c:v>1.4443414137970947</c:v>
                </c:pt>
                <c:pt idx="108">
                  <c:v>1.4259573920232274</c:v>
                </c:pt>
                <c:pt idx="109">
                  <c:v>1.4311590027757151</c:v>
                </c:pt>
                <c:pt idx="110">
                  <c:v>1.4371312844861259</c:v>
                </c:pt>
                <c:pt idx="111">
                  <c:v>1.4223751039180106</c:v>
                </c:pt>
                <c:pt idx="112">
                  <c:v>1.4433744398593233</c:v>
                </c:pt>
                <c:pt idx="113">
                  <c:v>1.4433422695905838</c:v>
                </c:pt>
                <c:pt idx="114">
                  <c:v>1.4838493347928341</c:v>
                </c:pt>
                <c:pt idx="115">
                  <c:v>1.5164085420813815</c:v>
                </c:pt>
                <c:pt idx="116">
                  <c:v>1.5635227370773479</c:v>
                </c:pt>
                <c:pt idx="117">
                  <c:v>1.5348469959499562</c:v>
                </c:pt>
                <c:pt idx="118">
                  <c:v>1.5280915612173513</c:v>
                </c:pt>
                <c:pt idx="119">
                  <c:v>1.5251651605511951</c:v>
                </c:pt>
                <c:pt idx="120">
                  <c:v>1.5575787008628903</c:v>
                </c:pt>
                <c:pt idx="121">
                  <c:v>1.5747713932447969</c:v>
                </c:pt>
                <c:pt idx="122">
                  <c:v>1.5782971260175698</c:v>
                </c:pt>
                <c:pt idx="123">
                  <c:v>1.652195900722808</c:v>
                </c:pt>
                <c:pt idx="124">
                  <c:v>1.6570940171600075</c:v>
                </c:pt>
                <c:pt idx="125">
                  <c:v>1.6883261365225135</c:v>
                </c:pt>
                <c:pt idx="126">
                  <c:v>1.6849777262710328</c:v>
                </c:pt>
                <c:pt idx="127">
                  <c:v>1.7201535988783128</c:v>
                </c:pt>
                <c:pt idx="128">
                  <c:v>1.7582499528223008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26E6-417D-9580-865281B72EBF}"/>
            </c:ext>
          </c:extLst>
        </c:ser>
        <c:ser>
          <c:idx val="3"/>
          <c:order val="3"/>
          <c:tx>
            <c:strRef>
              <c:f>'Base year'!$F$1</c:f>
              <c:strCache>
                <c:ptCount val="1"/>
                <c:pt idx="0">
                  <c:v>Korea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'Base year'!$B$2:$B$130</c:f>
              <c:numCache>
                <c:formatCode>yyyy\-mm\-dd</c:formatCode>
                <c:ptCount val="129"/>
                <c:pt idx="0">
                  <c:v>42005</c:v>
                </c:pt>
                <c:pt idx="1">
                  <c:v>42036</c:v>
                </c:pt>
                <c:pt idx="2">
                  <c:v>42064</c:v>
                </c:pt>
                <c:pt idx="3">
                  <c:v>42095</c:v>
                </c:pt>
                <c:pt idx="4">
                  <c:v>42125</c:v>
                </c:pt>
                <c:pt idx="5">
                  <c:v>42156</c:v>
                </c:pt>
                <c:pt idx="6">
                  <c:v>42186</c:v>
                </c:pt>
                <c:pt idx="7">
                  <c:v>42217</c:v>
                </c:pt>
                <c:pt idx="8">
                  <c:v>42248</c:v>
                </c:pt>
                <c:pt idx="9">
                  <c:v>42278</c:v>
                </c:pt>
                <c:pt idx="10">
                  <c:v>42309</c:v>
                </c:pt>
                <c:pt idx="11">
                  <c:v>42339</c:v>
                </c:pt>
                <c:pt idx="12">
                  <c:v>42370</c:v>
                </c:pt>
                <c:pt idx="13">
                  <c:v>42401</c:v>
                </c:pt>
                <c:pt idx="14">
                  <c:v>42430</c:v>
                </c:pt>
                <c:pt idx="15">
                  <c:v>42461</c:v>
                </c:pt>
                <c:pt idx="16">
                  <c:v>42491</c:v>
                </c:pt>
                <c:pt idx="17">
                  <c:v>42522</c:v>
                </c:pt>
                <c:pt idx="18">
                  <c:v>42552</c:v>
                </c:pt>
                <c:pt idx="19">
                  <c:v>42583</c:v>
                </c:pt>
                <c:pt idx="20">
                  <c:v>42614</c:v>
                </c:pt>
                <c:pt idx="21">
                  <c:v>42644</c:v>
                </c:pt>
                <c:pt idx="22">
                  <c:v>42675</c:v>
                </c:pt>
                <c:pt idx="23">
                  <c:v>42705</c:v>
                </c:pt>
                <c:pt idx="24">
                  <c:v>42736</c:v>
                </c:pt>
                <c:pt idx="25">
                  <c:v>42767</c:v>
                </c:pt>
                <c:pt idx="26">
                  <c:v>42795</c:v>
                </c:pt>
                <c:pt idx="27">
                  <c:v>42826</c:v>
                </c:pt>
                <c:pt idx="28">
                  <c:v>42856</c:v>
                </c:pt>
                <c:pt idx="29">
                  <c:v>42887</c:v>
                </c:pt>
                <c:pt idx="30">
                  <c:v>42917</c:v>
                </c:pt>
                <c:pt idx="31">
                  <c:v>42948</c:v>
                </c:pt>
                <c:pt idx="32">
                  <c:v>42979</c:v>
                </c:pt>
                <c:pt idx="33">
                  <c:v>43009</c:v>
                </c:pt>
                <c:pt idx="34">
                  <c:v>43040</c:v>
                </c:pt>
                <c:pt idx="35">
                  <c:v>43070</c:v>
                </c:pt>
                <c:pt idx="36">
                  <c:v>43101</c:v>
                </c:pt>
                <c:pt idx="37">
                  <c:v>43132</c:v>
                </c:pt>
                <c:pt idx="38">
                  <c:v>43160</c:v>
                </c:pt>
                <c:pt idx="39">
                  <c:v>43191</c:v>
                </c:pt>
                <c:pt idx="40">
                  <c:v>43221</c:v>
                </c:pt>
                <c:pt idx="41">
                  <c:v>43252</c:v>
                </c:pt>
                <c:pt idx="42">
                  <c:v>43282</c:v>
                </c:pt>
                <c:pt idx="43">
                  <c:v>43313</c:v>
                </c:pt>
                <c:pt idx="44">
                  <c:v>43344</c:v>
                </c:pt>
                <c:pt idx="45">
                  <c:v>43374</c:v>
                </c:pt>
                <c:pt idx="46">
                  <c:v>43405</c:v>
                </c:pt>
                <c:pt idx="47">
                  <c:v>43435</c:v>
                </c:pt>
                <c:pt idx="48">
                  <c:v>43466</c:v>
                </c:pt>
                <c:pt idx="49">
                  <c:v>43497</c:v>
                </c:pt>
                <c:pt idx="50">
                  <c:v>43525</c:v>
                </c:pt>
                <c:pt idx="51">
                  <c:v>43556</c:v>
                </c:pt>
                <c:pt idx="52">
                  <c:v>43586</c:v>
                </c:pt>
                <c:pt idx="53">
                  <c:v>43617</c:v>
                </c:pt>
                <c:pt idx="54">
                  <c:v>43647</c:v>
                </c:pt>
                <c:pt idx="55">
                  <c:v>43678</c:v>
                </c:pt>
                <c:pt idx="56">
                  <c:v>43709</c:v>
                </c:pt>
                <c:pt idx="57">
                  <c:v>43739</c:v>
                </c:pt>
                <c:pt idx="58">
                  <c:v>43770</c:v>
                </c:pt>
                <c:pt idx="59">
                  <c:v>43800</c:v>
                </c:pt>
                <c:pt idx="60">
                  <c:v>43831</c:v>
                </c:pt>
                <c:pt idx="61">
                  <c:v>43862</c:v>
                </c:pt>
                <c:pt idx="62">
                  <c:v>43891</c:v>
                </c:pt>
                <c:pt idx="63">
                  <c:v>43922</c:v>
                </c:pt>
                <c:pt idx="64">
                  <c:v>43952</c:v>
                </c:pt>
                <c:pt idx="65">
                  <c:v>43983</c:v>
                </c:pt>
                <c:pt idx="66">
                  <c:v>44013</c:v>
                </c:pt>
                <c:pt idx="67">
                  <c:v>44044</c:v>
                </c:pt>
                <c:pt idx="68">
                  <c:v>44075</c:v>
                </c:pt>
                <c:pt idx="69">
                  <c:v>44105</c:v>
                </c:pt>
                <c:pt idx="70">
                  <c:v>44136</c:v>
                </c:pt>
                <c:pt idx="71">
                  <c:v>44166</c:v>
                </c:pt>
                <c:pt idx="72">
                  <c:v>44197</c:v>
                </c:pt>
                <c:pt idx="73">
                  <c:v>44228</c:v>
                </c:pt>
                <c:pt idx="74">
                  <c:v>44256</c:v>
                </c:pt>
                <c:pt idx="75">
                  <c:v>44287</c:v>
                </c:pt>
                <c:pt idx="76">
                  <c:v>44317</c:v>
                </c:pt>
                <c:pt idx="77">
                  <c:v>44348</c:v>
                </c:pt>
                <c:pt idx="78">
                  <c:v>44378</c:v>
                </c:pt>
                <c:pt idx="79">
                  <c:v>44409</c:v>
                </c:pt>
                <c:pt idx="80">
                  <c:v>44440</c:v>
                </c:pt>
                <c:pt idx="81">
                  <c:v>44470</c:v>
                </c:pt>
                <c:pt idx="82">
                  <c:v>44501</c:v>
                </c:pt>
                <c:pt idx="83">
                  <c:v>44531</c:v>
                </c:pt>
                <c:pt idx="84">
                  <c:v>44562</c:v>
                </c:pt>
                <c:pt idx="85">
                  <c:v>44593</c:v>
                </c:pt>
                <c:pt idx="86">
                  <c:v>44621</c:v>
                </c:pt>
                <c:pt idx="87">
                  <c:v>44652</c:v>
                </c:pt>
                <c:pt idx="88">
                  <c:v>44682</c:v>
                </c:pt>
                <c:pt idx="89">
                  <c:v>44713</c:v>
                </c:pt>
                <c:pt idx="90">
                  <c:v>44743</c:v>
                </c:pt>
                <c:pt idx="91">
                  <c:v>44774</c:v>
                </c:pt>
                <c:pt idx="92">
                  <c:v>44805</c:v>
                </c:pt>
                <c:pt idx="93">
                  <c:v>44835</c:v>
                </c:pt>
                <c:pt idx="94">
                  <c:v>44866</c:v>
                </c:pt>
                <c:pt idx="95">
                  <c:v>44896</c:v>
                </c:pt>
                <c:pt idx="96">
                  <c:v>44927</c:v>
                </c:pt>
                <c:pt idx="97">
                  <c:v>44958</c:v>
                </c:pt>
                <c:pt idx="98">
                  <c:v>44986</c:v>
                </c:pt>
                <c:pt idx="99">
                  <c:v>45017</c:v>
                </c:pt>
                <c:pt idx="100">
                  <c:v>45047</c:v>
                </c:pt>
                <c:pt idx="101">
                  <c:v>45078</c:v>
                </c:pt>
                <c:pt idx="102">
                  <c:v>45108</c:v>
                </c:pt>
                <c:pt idx="103">
                  <c:v>45139</c:v>
                </c:pt>
                <c:pt idx="104">
                  <c:v>45170</c:v>
                </c:pt>
                <c:pt idx="105">
                  <c:v>45200</c:v>
                </c:pt>
                <c:pt idx="106">
                  <c:v>45231</c:v>
                </c:pt>
                <c:pt idx="107">
                  <c:v>45261</c:v>
                </c:pt>
                <c:pt idx="108">
                  <c:v>45292</c:v>
                </c:pt>
                <c:pt idx="109">
                  <c:v>45323</c:v>
                </c:pt>
                <c:pt idx="110">
                  <c:v>45352</c:v>
                </c:pt>
                <c:pt idx="111">
                  <c:v>45383</c:v>
                </c:pt>
                <c:pt idx="112">
                  <c:v>45413</c:v>
                </c:pt>
                <c:pt idx="113">
                  <c:v>45444</c:v>
                </c:pt>
                <c:pt idx="114">
                  <c:v>45474</c:v>
                </c:pt>
                <c:pt idx="115">
                  <c:v>45505</c:v>
                </c:pt>
                <c:pt idx="116">
                  <c:v>45536</c:v>
                </c:pt>
                <c:pt idx="117">
                  <c:v>45566</c:v>
                </c:pt>
                <c:pt idx="118">
                  <c:v>45597</c:v>
                </c:pt>
                <c:pt idx="119">
                  <c:v>45627</c:v>
                </c:pt>
                <c:pt idx="120">
                  <c:v>45658</c:v>
                </c:pt>
                <c:pt idx="121">
                  <c:v>45689</c:v>
                </c:pt>
                <c:pt idx="122">
                  <c:v>45717</c:v>
                </c:pt>
                <c:pt idx="123">
                  <c:v>45748</c:v>
                </c:pt>
                <c:pt idx="124">
                  <c:v>45778</c:v>
                </c:pt>
                <c:pt idx="125">
                  <c:v>45809</c:v>
                </c:pt>
                <c:pt idx="126">
                  <c:v>45839</c:v>
                </c:pt>
                <c:pt idx="127">
                  <c:v>45870</c:v>
                </c:pt>
                <c:pt idx="128">
                  <c:v>45901</c:v>
                </c:pt>
              </c:numCache>
            </c:numRef>
          </c:cat>
          <c:val>
            <c:numRef>
              <c:f>'Base year'!$F$2:$F$130</c:f>
              <c:numCache>
                <c:formatCode>General</c:formatCode>
                <c:ptCount val="129"/>
                <c:pt idx="0">
                  <c:v>1</c:v>
                </c:pt>
                <c:pt idx="1">
                  <c:v>1.0004372325646287</c:v>
                </c:pt>
                <c:pt idx="2">
                  <c:v>1.0015326709239076</c:v>
                </c:pt>
                <c:pt idx="3">
                  <c:v>1.021668268435505</c:v>
                </c:pt>
                <c:pt idx="4">
                  <c:v>1.0260768662408313</c:v>
                </c:pt>
                <c:pt idx="5">
                  <c:v>1.0351759269470058</c:v>
                </c:pt>
                <c:pt idx="6">
                  <c:v>1.0241594414884827</c:v>
                </c:pt>
                <c:pt idx="7">
                  <c:v>1.0160429112524931</c:v>
                </c:pt>
                <c:pt idx="8">
                  <c:v>1.016566526363446</c:v>
                </c:pt>
                <c:pt idx="9">
                  <c:v>1.0207738503901778</c:v>
                </c:pt>
                <c:pt idx="10">
                  <c:v>1.0175424488107021</c:v>
                </c:pt>
                <c:pt idx="11">
                  <c:v>1.0161417575117215</c:v>
                </c:pt>
                <c:pt idx="12">
                  <c:v>1.01426436000902</c:v>
                </c:pt>
                <c:pt idx="13">
                  <c:v>1.0099253845025029</c:v>
                </c:pt>
                <c:pt idx="14">
                  <c:v>1.0214256929264305</c:v>
                </c:pt>
                <c:pt idx="15">
                  <c:v>1.0288302227806387</c:v>
                </c:pt>
                <c:pt idx="16">
                  <c:v>1.0243387391833081</c:v>
                </c:pt>
                <c:pt idx="17">
                  <c:v>1.021572761152491</c:v>
                </c:pt>
                <c:pt idx="18">
                  <c:v>1.0257548414920128</c:v>
                </c:pt>
                <c:pt idx="19">
                  <c:v>1.0371189496650119</c:v>
                </c:pt>
                <c:pt idx="20">
                  <c:v>1.0435764674959147</c:v>
                </c:pt>
                <c:pt idx="21">
                  <c:v>1.036331927499101</c:v>
                </c:pt>
                <c:pt idx="22">
                  <c:v>1.0274278291964851</c:v>
                </c:pt>
                <c:pt idx="23">
                  <c:v>1.0249800105920808</c:v>
                </c:pt>
                <c:pt idx="24">
                  <c:v>1.0331933837910241</c:v>
                </c:pt>
                <c:pt idx="25">
                  <c:v>1.0328047679699308</c:v>
                </c:pt>
                <c:pt idx="26">
                  <c:v>1.0366632658900115</c:v>
                </c:pt>
                <c:pt idx="27">
                  <c:v>1.0402671798323049</c:v>
                </c:pt>
                <c:pt idx="28">
                  <c:v>1.04555317280732</c:v>
                </c:pt>
                <c:pt idx="29">
                  <c:v>1.0514339281909519</c:v>
                </c:pt>
                <c:pt idx="30">
                  <c:v>1.0603215988863968</c:v>
                </c:pt>
                <c:pt idx="31">
                  <c:v>1.0632823540182674</c:v>
                </c:pt>
                <c:pt idx="32">
                  <c:v>1.062884555964122</c:v>
                </c:pt>
                <c:pt idx="33">
                  <c:v>1.0622897810470548</c:v>
                </c:pt>
                <c:pt idx="34">
                  <c:v>1.0700694852874422</c:v>
                </c:pt>
                <c:pt idx="35">
                  <c:v>1.0757527833016767</c:v>
                </c:pt>
                <c:pt idx="36">
                  <c:v>1.0938162618265486</c:v>
                </c:pt>
                <c:pt idx="37">
                  <c:v>1.0910712840160959</c:v>
                </c:pt>
                <c:pt idx="38">
                  <c:v>1.0965948709364155</c:v>
                </c:pt>
                <c:pt idx="39">
                  <c:v>1.1012644647065206</c:v>
                </c:pt>
                <c:pt idx="40">
                  <c:v>1.1028526258036302</c:v>
                </c:pt>
                <c:pt idx="41">
                  <c:v>1.1064360648970382</c:v>
                </c:pt>
                <c:pt idx="42">
                  <c:v>1.1123812437332765</c:v>
                </c:pt>
                <c:pt idx="43">
                  <c:v>1.1086713381055762</c:v>
                </c:pt>
                <c:pt idx="44">
                  <c:v>1.1138373588396231</c:v>
                </c:pt>
                <c:pt idx="45">
                  <c:v>1.113209122487604</c:v>
                </c:pt>
                <c:pt idx="46">
                  <c:v>1.1138795829950747</c:v>
                </c:pt>
                <c:pt idx="47">
                  <c:v>1.1158421928466535</c:v>
                </c:pt>
                <c:pt idx="48">
                  <c:v>1.120897669510269</c:v>
                </c:pt>
                <c:pt idx="49">
                  <c:v>1.1185143137792806</c:v>
                </c:pt>
                <c:pt idx="50">
                  <c:v>1.1201357231448266</c:v>
                </c:pt>
                <c:pt idx="51">
                  <c:v>1.1164184835621074</c:v>
                </c:pt>
                <c:pt idx="52">
                  <c:v>1.1106355876845944</c:v>
                </c:pt>
                <c:pt idx="53">
                  <c:v>1.113704605880347</c:v>
                </c:pt>
                <c:pt idx="54">
                  <c:v>1.1138043681675427</c:v>
                </c:pt>
                <c:pt idx="55">
                  <c:v>1.10922148975543</c:v>
                </c:pt>
                <c:pt idx="56">
                  <c:v>1.1143691397246491</c:v>
                </c:pt>
                <c:pt idx="57">
                  <c:v>1.1228460343088029</c:v>
                </c:pt>
                <c:pt idx="58">
                  <c:v>1.1259535939167675</c:v>
                </c:pt>
                <c:pt idx="59">
                  <c:v>1.1296213874973069</c:v>
                </c:pt>
                <c:pt idx="60">
                  <c:v>1.1319783830104162</c:v>
                </c:pt>
                <c:pt idx="61">
                  <c:v>1.1305448960231004</c:v>
                </c:pt>
                <c:pt idx="62">
                  <c:v>1.1053714972348858</c:v>
                </c:pt>
                <c:pt idx="63">
                  <c:v>1.1150880168477266</c:v>
                </c:pt>
                <c:pt idx="64">
                  <c:v>1.1232029039769884</c:v>
                </c:pt>
                <c:pt idx="65">
                  <c:v>1.1326836760336525</c:v>
                </c:pt>
                <c:pt idx="66">
                  <c:v>1.1488968008905327</c:v>
                </c:pt>
                <c:pt idx="67">
                  <c:v>1.1555872642363345</c:v>
                </c:pt>
                <c:pt idx="68">
                  <c:v>1.1600815212149351</c:v>
                </c:pt>
                <c:pt idx="69">
                  <c:v>1.1767422615859426</c:v>
                </c:pt>
                <c:pt idx="70">
                  <c:v>1.2043870506541743</c:v>
                </c:pt>
                <c:pt idx="71">
                  <c:v>1.2231011348517478</c:v>
                </c:pt>
                <c:pt idx="72">
                  <c:v>1.2220981912776581</c:v>
                </c:pt>
                <c:pt idx="73">
                  <c:v>1.2354614279145926</c:v>
                </c:pt>
                <c:pt idx="74">
                  <c:v>1.2316362914532308</c:v>
                </c:pt>
                <c:pt idx="75">
                  <c:v>1.2488592108209577</c:v>
                </c:pt>
                <c:pt idx="76">
                  <c:v>1.2604762768104618</c:v>
                </c:pt>
                <c:pt idx="77">
                  <c:v>1.2539329589039498</c:v>
                </c:pt>
                <c:pt idx="78">
                  <c:v>1.2667554446339602</c:v>
                </c:pt>
                <c:pt idx="79">
                  <c:v>1.2815077845973264</c:v>
                </c:pt>
                <c:pt idx="80">
                  <c:v>1.2814039539423414</c:v>
                </c:pt>
                <c:pt idx="81">
                  <c:v>1.2962967652857478</c:v>
                </c:pt>
                <c:pt idx="82">
                  <c:v>1.2815365901894027</c:v>
                </c:pt>
                <c:pt idx="83">
                  <c:v>1.2792227834847558</c:v>
                </c:pt>
                <c:pt idx="84">
                  <c:v>1.2747863436122637</c:v>
                </c:pt>
                <c:pt idx="85">
                  <c:v>1.2754850234850883</c:v>
                </c:pt>
                <c:pt idx="86">
                  <c:v>1.2643814404296994</c:v>
                </c:pt>
                <c:pt idx="87">
                  <c:v>1.240864170019611</c:v>
                </c:pt>
                <c:pt idx="88">
                  <c:v>1.2362544450709749</c:v>
                </c:pt>
                <c:pt idx="89">
                  <c:v>1.209690035362148</c:v>
                </c:pt>
                <c:pt idx="90">
                  <c:v>1.2110932565517925</c:v>
                </c:pt>
                <c:pt idx="91">
                  <c:v>1.2046811450573367</c:v>
                </c:pt>
                <c:pt idx="92">
                  <c:v>1.1499791287351666</c:v>
                </c:pt>
                <c:pt idx="93">
                  <c:v>1.1420002290581019</c:v>
                </c:pt>
                <c:pt idx="94">
                  <c:v>1.1479087933150205</c:v>
                </c:pt>
                <c:pt idx="95">
                  <c:v>1.1676070668864955</c:v>
                </c:pt>
                <c:pt idx="96">
                  <c:v>1.1864844067248641</c:v>
                </c:pt>
                <c:pt idx="97">
                  <c:v>1.173661715179152</c:v>
                </c:pt>
                <c:pt idx="98">
                  <c:v>1.1751400411644233</c:v>
                </c:pt>
                <c:pt idx="99">
                  <c:v>1.1767058033541871</c:v>
                </c:pt>
                <c:pt idx="100">
                  <c:v>1.1608356647053077</c:v>
                </c:pt>
                <c:pt idx="101">
                  <c:v>1.1621329799265778</c:v>
                </c:pt>
                <c:pt idx="102">
                  <c:v>1.1632387941817406</c:v>
                </c:pt>
                <c:pt idx="103">
                  <c:v>1.1534726810167559</c:v>
                </c:pt>
                <c:pt idx="104">
                  <c:v>1.1418789447526803</c:v>
                </c:pt>
                <c:pt idx="105">
                  <c:v>1.1384347372962449</c:v>
                </c:pt>
                <c:pt idx="106">
                  <c:v>1.1499211500717488</c:v>
                </c:pt>
                <c:pt idx="107">
                  <c:v>1.1584413910368299</c:v>
                </c:pt>
                <c:pt idx="108">
                  <c:v>1.1462037431543581</c:v>
                </c:pt>
                <c:pt idx="109">
                  <c:v>1.1462105386306261</c:v>
                </c:pt>
                <c:pt idx="110">
                  <c:v>1.1560277066852327</c:v>
                </c:pt>
                <c:pt idx="111">
                  <c:v>1.1392513884374535</c:v>
                </c:pt>
                <c:pt idx="112">
                  <c:v>1.1380790746747813</c:v>
                </c:pt>
                <c:pt idx="113">
                  <c:v>1.1363497183338471</c:v>
                </c:pt>
                <c:pt idx="114">
                  <c:v>1.1400742115467526</c:v>
                </c:pt>
                <c:pt idx="115">
                  <c:v>1.1465947420177891</c:v>
                </c:pt>
                <c:pt idx="116">
                  <c:v>1.1580136692103671</c:v>
                </c:pt>
                <c:pt idx="117">
                  <c:v>1.1461643664727306</c:v>
                </c:pt>
                <c:pt idx="118">
                  <c:v>1.1452974253143484</c:v>
                </c:pt>
                <c:pt idx="119">
                  <c:v>1.1457176784809893</c:v>
                </c:pt>
                <c:pt idx="120">
                  <c:v>1.1327923356540599</c:v>
                </c:pt>
                <c:pt idx="121">
                  <c:v>1.1276210246872713</c:v>
                </c:pt>
                <c:pt idx="122">
                  <c:v>1.1291161734154738</c:v>
                </c:pt>
                <c:pt idx="123">
                  <c:v>1.1149481831259926</c:v>
                </c:pt>
                <c:pt idx="124">
                  <c:v>1.1148567836264511</c:v>
                </c:pt>
                <c:pt idx="125">
                  <c:v>1.1304464366173408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26E6-417D-9580-865281B72E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17999247"/>
        <c:axId val="1317999727"/>
      </c:lineChart>
      <c:dateAx>
        <c:axId val="1317999247"/>
        <c:scaling>
          <c:orientation val="minMax"/>
        </c:scaling>
        <c:delete val="0"/>
        <c:axPos val="b"/>
        <c:numFmt formatCode="yyyy\-mm\-dd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17999727"/>
        <c:crosses val="autoZero"/>
        <c:auto val="1"/>
        <c:lblOffset val="100"/>
        <c:baseTimeUnit val="months"/>
      </c:dateAx>
      <c:valAx>
        <c:axId val="1317999727"/>
        <c:scaling>
          <c:orientation val="minMax"/>
          <c:max val="1.9"/>
          <c:min val="0.8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LID4096"/>
          </a:p>
        </c:txPr>
        <c:crossAx val="13179992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LID4096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LID4096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327660</xdr:colOff>
      <xdr:row>1</xdr:row>
      <xdr:rowOff>57150</xdr:rowOff>
    </xdr:from>
    <xdr:to>
      <xdr:col>19</xdr:col>
      <xdr:colOff>236220</xdr:colOff>
      <xdr:row>23</xdr:row>
      <xdr:rowOff>68580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EF6B706-F1AD-E3C2-BBBE-CAEE0F19F5C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31"/>
  <sheetViews>
    <sheetView workbookViewId="0">
      <selection activeCell="H9" sqref="H9"/>
    </sheetView>
  </sheetViews>
  <sheetFormatPr defaultRowHeight="14.4" x14ac:dyDescent="0.3"/>
  <cols>
    <col min="2" max="2" width="10.33203125" bestFit="1" customWidth="1"/>
    <col min="3" max="6" width="12" bestFit="1" customWidth="1"/>
    <col min="10" max="12" width="12" bestFit="1" customWidth="1"/>
  </cols>
  <sheetData>
    <row r="1" spans="2:13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13" x14ac:dyDescent="0.3">
      <c r="B2" s="1">
        <v>42005</v>
      </c>
      <c r="C2">
        <v>111066762807.11499</v>
      </c>
      <c r="D2">
        <v>80715986539.039993</v>
      </c>
      <c r="E2">
        <v>155423010000</v>
      </c>
      <c r="F2">
        <v>357380579707.56897</v>
      </c>
      <c r="J2" t="s">
        <v>1</v>
      </c>
      <c r="K2" t="s">
        <v>2</v>
      </c>
      <c r="L2" t="s">
        <v>3</v>
      </c>
      <c r="M2" t="s">
        <v>4</v>
      </c>
    </row>
    <row r="3" spans="2:13" x14ac:dyDescent="0.3">
      <c r="B3" s="1">
        <v>42036</v>
      </c>
      <c r="C3">
        <v>112481794245.31999</v>
      </c>
      <c r="D3">
        <v>80837009080.75</v>
      </c>
      <c r="E3">
        <v>156935390000</v>
      </c>
      <c r="F3">
        <v>357536838134.98297</v>
      </c>
      <c r="I3" t="s">
        <v>5</v>
      </c>
      <c r="J3">
        <f>MIN(C2:C131)</f>
        <v>97583805480.086411</v>
      </c>
      <c r="K3">
        <f t="shared" ref="K3:M3" si="0">MIN(D2:D131)</f>
        <v>74710905302.539993</v>
      </c>
      <c r="L3">
        <f t="shared" si="0"/>
        <v>155423010000</v>
      </c>
      <c r="M3">
        <f t="shared" si="0"/>
        <v>357380579707.56897</v>
      </c>
    </row>
    <row r="4" spans="2:13" x14ac:dyDescent="0.3">
      <c r="B4" s="1">
        <v>42064</v>
      </c>
      <c r="C4">
        <v>108570554534.939</v>
      </c>
      <c r="D4">
        <v>80458507744.87001</v>
      </c>
      <c r="E4">
        <v>156319190000</v>
      </c>
      <c r="F4">
        <v>357928326530.85602</v>
      </c>
      <c r="I4" t="s">
        <v>6</v>
      </c>
      <c r="J4">
        <f>MAX(C2:C131)</f>
        <v>149435179668.01199</v>
      </c>
      <c r="K4">
        <f t="shared" ref="K4:M4" si="1">MAX(D2:D131)</f>
        <v>112706919192.09996</v>
      </c>
      <c r="L4">
        <f t="shared" si="1"/>
        <v>273272500000</v>
      </c>
      <c r="M4">
        <f t="shared" si="1"/>
        <v>463271289450.867</v>
      </c>
    </row>
    <row r="5" spans="2:13" x14ac:dyDescent="0.3">
      <c r="B5" s="1">
        <v>42095</v>
      </c>
      <c r="C5">
        <v>107850462420.34401</v>
      </c>
      <c r="D5">
        <v>80850116094.989975</v>
      </c>
      <c r="E5">
        <v>161103290000</v>
      </c>
      <c r="F5">
        <v>365124398042.30896</v>
      </c>
      <c r="I5" t="s">
        <v>7</v>
      </c>
      <c r="J5">
        <f>AVERAGE(C2:C131)</f>
        <v>125202538263.63033</v>
      </c>
      <c r="K5">
        <f t="shared" ref="K5:M5" si="2">AVERAGE(D2:D131)</f>
        <v>92958672727.061432</v>
      </c>
      <c r="L5">
        <f t="shared" si="2"/>
        <v>214444963643.41086</v>
      </c>
      <c r="M5">
        <f t="shared" si="2"/>
        <v>402018712668.11938</v>
      </c>
    </row>
    <row r="6" spans="2:13" x14ac:dyDescent="0.3">
      <c r="B6" s="1">
        <v>42125</v>
      </c>
      <c r="C6">
        <v>107798024910.41701</v>
      </c>
      <c r="D6">
        <v>80405038802.649994</v>
      </c>
      <c r="E6">
        <v>158518370000</v>
      </c>
      <c r="F6">
        <v>366699945281.67395</v>
      </c>
      <c r="I6" t="s">
        <v>8</v>
      </c>
      <c r="J6">
        <f>_xlfn.STDEV.S(C2:C131)</f>
        <v>12740669992.589855</v>
      </c>
      <c r="K6">
        <f t="shared" ref="K6:M6" si="3">_xlfn.STDEV.S(D2:D131)</f>
        <v>11484773396.250425</v>
      </c>
      <c r="L6">
        <f t="shared" si="3"/>
        <v>30212902825.378799</v>
      </c>
      <c r="M6">
        <f t="shared" si="3"/>
        <v>27173396760.756245</v>
      </c>
    </row>
    <row r="7" spans="2:13" x14ac:dyDescent="0.3">
      <c r="B7" s="1">
        <v>42156</v>
      </c>
      <c r="C7">
        <v>105083991969.99001</v>
      </c>
      <c r="D7">
        <v>80644259150.559998</v>
      </c>
      <c r="E7">
        <v>160273970000</v>
      </c>
      <c r="F7">
        <v>369951772871.64099</v>
      </c>
      <c r="I7" t="s">
        <v>9</v>
      </c>
      <c r="J7">
        <f>J6/J5</f>
        <v>0.10176047681847078</v>
      </c>
      <c r="K7">
        <f t="shared" ref="K7:M7" si="4">K6/K5</f>
        <v>0.12354708882269856</v>
      </c>
      <c r="L7">
        <f t="shared" si="4"/>
        <v>0.14088884304887772</v>
      </c>
      <c r="M7">
        <f t="shared" si="4"/>
        <v>6.7592367978126539E-2</v>
      </c>
    </row>
    <row r="8" spans="2:13" x14ac:dyDescent="0.3">
      <c r="B8" s="1">
        <v>42186</v>
      </c>
      <c r="C8">
        <v>104823969808.92601</v>
      </c>
      <c r="D8">
        <v>80332384841.309982</v>
      </c>
      <c r="E8">
        <v>156944030000</v>
      </c>
      <c r="F8">
        <v>366014694912.13397</v>
      </c>
    </row>
    <row r="9" spans="2:13" x14ac:dyDescent="0.3">
      <c r="B9" s="1">
        <v>42217</v>
      </c>
      <c r="C9">
        <v>102489013455.81999</v>
      </c>
      <c r="D9">
        <v>80255433999.340012</v>
      </c>
      <c r="E9">
        <v>155838100000</v>
      </c>
      <c r="F9">
        <v>363114004631.18201</v>
      </c>
    </row>
    <row r="10" spans="2:13" x14ac:dyDescent="0.3">
      <c r="B10" s="1">
        <v>42248</v>
      </c>
      <c r="C10">
        <v>98876149477.459503</v>
      </c>
      <c r="D10">
        <v>80550511737.019989</v>
      </c>
      <c r="E10">
        <v>155533430000</v>
      </c>
      <c r="F10">
        <v>363301134503.078</v>
      </c>
    </row>
    <row r="11" spans="2:13" x14ac:dyDescent="0.3">
      <c r="B11" s="1">
        <v>42278</v>
      </c>
      <c r="C11">
        <v>97836228870.934402</v>
      </c>
      <c r="D11">
        <v>81097820536.360001</v>
      </c>
      <c r="E11">
        <v>158293930000</v>
      </c>
      <c r="F11">
        <v>364804750402.76904</v>
      </c>
    </row>
    <row r="12" spans="2:13" x14ac:dyDescent="0.3">
      <c r="B12" s="1">
        <v>42309</v>
      </c>
      <c r="C12">
        <v>97583805480.086411</v>
      </c>
      <c r="D12">
        <v>80173186103.62999</v>
      </c>
      <c r="E12">
        <v>155680970000</v>
      </c>
      <c r="F12">
        <v>363649910233.02802</v>
      </c>
    </row>
    <row r="13" spans="2:13" x14ac:dyDescent="0.3">
      <c r="B13" s="1">
        <v>42339</v>
      </c>
      <c r="C13">
        <v>103268247088.71899</v>
      </c>
      <c r="D13">
        <v>80666864742.149994</v>
      </c>
      <c r="E13">
        <v>156513950000</v>
      </c>
      <c r="F13">
        <v>363149330364.60699</v>
      </c>
    </row>
    <row r="14" spans="2:13" x14ac:dyDescent="0.3">
      <c r="B14" s="1">
        <v>42370</v>
      </c>
      <c r="C14">
        <v>99334128541.035995</v>
      </c>
      <c r="D14">
        <v>80692425965.22998</v>
      </c>
      <c r="E14">
        <v>160114250000</v>
      </c>
      <c r="F14">
        <v>362478384956.75</v>
      </c>
    </row>
    <row r="15" spans="2:13" x14ac:dyDescent="0.3">
      <c r="B15" s="1">
        <v>42401</v>
      </c>
      <c r="C15">
        <v>101451511705.095</v>
      </c>
      <c r="D15">
        <v>81877589659.589996</v>
      </c>
      <c r="E15">
        <v>167971320000</v>
      </c>
      <c r="F15">
        <v>360927719374.89398</v>
      </c>
    </row>
    <row r="16" spans="2:13" x14ac:dyDescent="0.3">
      <c r="B16" s="1">
        <v>42430</v>
      </c>
      <c r="C16">
        <v>104443809676.73199</v>
      </c>
      <c r="D16">
        <v>82977042142.819992</v>
      </c>
      <c r="E16">
        <v>175073290000</v>
      </c>
      <c r="F16">
        <v>365037706266.25305</v>
      </c>
    </row>
    <row r="17" spans="2:6" x14ac:dyDescent="0.3">
      <c r="B17" s="1">
        <v>42461</v>
      </c>
      <c r="C17">
        <v>104565425935.041</v>
      </c>
      <c r="D17">
        <v>83736272496.299988</v>
      </c>
      <c r="E17">
        <v>178568340000</v>
      </c>
      <c r="F17">
        <v>367683941438.01202</v>
      </c>
    </row>
    <row r="18" spans="2:6" x14ac:dyDescent="0.3">
      <c r="B18" s="1">
        <v>42491</v>
      </c>
      <c r="C18">
        <v>100532832900.311</v>
      </c>
      <c r="D18">
        <v>82927198872.300003</v>
      </c>
      <c r="E18">
        <v>175477000000</v>
      </c>
      <c r="F18">
        <v>366078772426.25098</v>
      </c>
    </row>
    <row r="19" spans="2:6" x14ac:dyDescent="0.3">
      <c r="B19" s="1">
        <v>42522</v>
      </c>
      <c r="C19">
        <v>106477401169.09799</v>
      </c>
      <c r="D19">
        <v>85284318324.630005</v>
      </c>
      <c r="E19">
        <v>178668890000</v>
      </c>
      <c r="F19">
        <v>365090265594.1391</v>
      </c>
    </row>
    <row r="20" spans="2:6" x14ac:dyDescent="0.3">
      <c r="B20" s="1">
        <v>42552</v>
      </c>
      <c r="C20">
        <v>108046725822.547</v>
      </c>
      <c r="D20">
        <v>85506227793.149994</v>
      </c>
      <c r="E20">
        <v>180203660000</v>
      </c>
      <c r="F20">
        <v>366584859890.26105</v>
      </c>
    </row>
    <row r="21" spans="2:6" x14ac:dyDescent="0.3">
      <c r="B21" s="1">
        <v>42583</v>
      </c>
      <c r="C21">
        <v>110225937040.59201</v>
      </c>
      <c r="D21">
        <v>85791979065.959991</v>
      </c>
      <c r="E21">
        <v>180802640000</v>
      </c>
      <c r="F21">
        <v>370646171456.987</v>
      </c>
    </row>
    <row r="22" spans="2:6" x14ac:dyDescent="0.3">
      <c r="B22" s="1">
        <v>42614</v>
      </c>
      <c r="C22">
        <v>112357322021.306</v>
      </c>
      <c r="D22">
        <v>86139109264.850006</v>
      </c>
      <c r="E22">
        <v>180468740000</v>
      </c>
      <c r="F22">
        <v>372953962922.867</v>
      </c>
    </row>
    <row r="23" spans="2:6" x14ac:dyDescent="0.3">
      <c r="B23" s="1">
        <v>42644</v>
      </c>
      <c r="C23">
        <v>111845868944.362</v>
      </c>
      <c r="D23">
        <v>85105775423.029999</v>
      </c>
      <c r="E23">
        <v>180261170000</v>
      </c>
      <c r="F23">
        <v>370364905019.091</v>
      </c>
    </row>
    <row r="24" spans="2:6" x14ac:dyDescent="0.3">
      <c r="B24" s="1">
        <v>42675</v>
      </c>
      <c r="C24">
        <v>108490981418.797</v>
      </c>
      <c r="D24">
        <v>81451073332.960007</v>
      </c>
      <c r="E24">
        <v>174705250000</v>
      </c>
      <c r="F24">
        <v>367182753205.92902</v>
      </c>
    </row>
    <row r="25" spans="2:6" x14ac:dyDescent="0.3">
      <c r="B25" s="1">
        <v>42705</v>
      </c>
      <c r="C25">
        <v>113493392851.05901</v>
      </c>
      <c r="D25">
        <v>80691786823.139984</v>
      </c>
      <c r="E25">
        <v>171853240000</v>
      </c>
      <c r="F25">
        <v>366307950374.06799</v>
      </c>
    </row>
    <row r="26" spans="2:6" x14ac:dyDescent="0.3">
      <c r="B26" s="1">
        <v>42736</v>
      </c>
      <c r="C26">
        <v>113904589254.927</v>
      </c>
      <c r="D26">
        <v>81376447559.930008</v>
      </c>
      <c r="E26">
        <v>179161410000</v>
      </c>
      <c r="F26">
        <v>369243250449.26099</v>
      </c>
    </row>
    <row r="27" spans="2:6" x14ac:dyDescent="0.3">
      <c r="B27" s="1">
        <v>42767</v>
      </c>
      <c r="C27">
        <v>116709645394.04399</v>
      </c>
      <c r="D27">
        <v>81436087948.470001</v>
      </c>
      <c r="E27">
        <v>183002140000</v>
      </c>
      <c r="F27">
        <v>369104366701.83514</v>
      </c>
    </row>
    <row r="28" spans="2:6" x14ac:dyDescent="0.3">
      <c r="B28" s="1">
        <v>42795</v>
      </c>
      <c r="C28">
        <v>118665259946.974</v>
      </c>
      <c r="D28">
        <v>80893788817.240005</v>
      </c>
      <c r="E28">
        <v>180869190000</v>
      </c>
      <c r="F28">
        <v>370483318925.31403</v>
      </c>
    </row>
    <row r="29" spans="2:6" x14ac:dyDescent="0.3">
      <c r="B29" s="1">
        <v>42826</v>
      </c>
      <c r="C29">
        <v>120083391594.007</v>
      </c>
      <c r="D29">
        <v>82015344440.569992</v>
      </c>
      <c r="E29">
        <v>184469920000</v>
      </c>
      <c r="F29">
        <v>371771287779.22699</v>
      </c>
    </row>
    <row r="30" spans="2:6" x14ac:dyDescent="0.3">
      <c r="B30" s="1">
        <v>42856</v>
      </c>
      <c r="C30">
        <v>121739978059.681</v>
      </c>
      <c r="D30">
        <v>82176526782.73999</v>
      </c>
      <c r="E30">
        <v>184148100000</v>
      </c>
      <c r="F30">
        <v>373660399012.96802</v>
      </c>
    </row>
    <row r="31" spans="2:6" x14ac:dyDescent="0.3">
      <c r="B31" s="1">
        <v>42887</v>
      </c>
      <c r="C31">
        <v>119948958309.784</v>
      </c>
      <c r="D31">
        <v>81321205967.110016</v>
      </c>
      <c r="E31">
        <v>185555110000</v>
      </c>
      <c r="F31">
        <v>375762066781.08887</v>
      </c>
    </row>
    <row r="32" spans="2:6" x14ac:dyDescent="0.3">
      <c r="B32" s="1">
        <v>42917</v>
      </c>
      <c r="C32">
        <v>124484915073.133</v>
      </c>
      <c r="D32">
        <v>81065255222.280014</v>
      </c>
      <c r="E32">
        <v>190381340000</v>
      </c>
      <c r="F32">
        <v>378938347686.47687</v>
      </c>
    </row>
    <row r="33" spans="2:6" x14ac:dyDescent="0.3">
      <c r="B33" s="1">
        <v>42948</v>
      </c>
      <c r="C33">
        <v>125386969481.53999</v>
      </c>
      <c r="D33">
        <v>81725381858.26001</v>
      </c>
      <c r="E33">
        <v>196914300000</v>
      </c>
      <c r="F33">
        <v>379996464071.87701</v>
      </c>
    </row>
    <row r="34" spans="2:6" x14ac:dyDescent="0.3">
      <c r="B34" s="1">
        <v>42979</v>
      </c>
      <c r="C34">
        <v>126079701487.381</v>
      </c>
      <c r="D34">
        <v>80962231790.199997</v>
      </c>
      <c r="E34">
        <v>199304480000</v>
      </c>
      <c r="F34">
        <v>379854298772.67999</v>
      </c>
    </row>
    <row r="35" spans="2:6" x14ac:dyDescent="0.3">
      <c r="B35" s="1">
        <v>43009</v>
      </c>
      <c r="C35">
        <v>123253081555.465</v>
      </c>
      <c r="D35">
        <v>80419106421.789993</v>
      </c>
      <c r="E35">
        <v>200525760000</v>
      </c>
      <c r="F35">
        <v>379641737768.02301</v>
      </c>
    </row>
    <row r="36" spans="2:6" x14ac:dyDescent="0.3">
      <c r="B36" s="1">
        <v>43040</v>
      </c>
      <c r="C36">
        <v>122638205003.64499</v>
      </c>
      <c r="D36">
        <v>80309845151.23999</v>
      </c>
      <c r="E36">
        <v>203073060000</v>
      </c>
      <c r="F36">
        <v>382422052979.40601</v>
      </c>
    </row>
    <row r="37" spans="2:6" x14ac:dyDescent="0.3">
      <c r="B37" s="1">
        <v>43070</v>
      </c>
      <c r="C37">
        <v>126857395382.957</v>
      </c>
      <c r="D37">
        <v>81569899864.039993</v>
      </c>
      <c r="E37">
        <v>202562310000</v>
      </c>
      <c r="F37">
        <v>384453153318.38403</v>
      </c>
    </row>
    <row r="38" spans="2:6" x14ac:dyDescent="0.3">
      <c r="B38" s="1">
        <v>43101</v>
      </c>
      <c r="C38">
        <v>128498172045.451</v>
      </c>
      <c r="D38">
        <v>81223997479.490005</v>
      </c>
      <c r="E38">
        <v>214665120000</v>
      </c>
      <c r="F38">
        <v>390908689745.138</v>
      </c>
    </row>
    <row r="39" spans="2:6" x14ac:dyDescent="0.3">
      <c r="B39" s="1">
        <v>43132</v>
      </c>
      <c r="C39">
        <v>124612690442.41301</v>
      </c>
      <c r="D39">
        <v>80431587789.539993</v>
      </c>
      <c r="E39">
        <v>212734930000</v>
      </c>
      <c r="F39">
        <v>389927687983.95398</v>
      </c>
    </row>
    <row r="40" spans="2:6" x14ac:dyDescent="0.3">
      <c r="B40" s="1">
        <v>43160</v>
      </c>
      <c r="C40">
        <v>122543191256.54599</v>
      </c>
      <c r="D40">
        <v>80511200839.660004</v>
      </c>
      <c r="E40">
        <v>215614700000</v>
      </c>
      <c r="F40">
        <v>391901710679.60297</v>
      </c>
    </row>
    <row r="41" spans="2:6" x14ac:dyDescent="0.3">
      <c r="B41" s="1">
        <v>43191</v>
      </c>
      <c r="C41">
        <v>121437875918.491</v>
      </c>
      <c r="D41">
        <v>79608786457.960007</v>
      </c>
      <c r="E41">
        <v>215152080000</v>
      </c>
      <c r="F41">
        <v>393570532808.16199</v>
      </c>
    </row>
    <row r="42" spans="2:6" x14ac:dyDescent="0.3">
      <c r="B42" s="1">
        <v>43221</v>
      </c>
      <c r="C42">
        <v>119547940177.36501</v>
      </c>
      <c r="D42">
        <v>79202376079.769989</v>
      </c>
      <c r="E42">
        <v>212553370000</v>
      </c>
      <c r="F42">
        <v>394138110741.716</v>
      </c>
    </row>
    <row r="43" spans="2:6" x14ac:dyDescent="0.3">
      <c r="B43" s="1">
        <v>43252</v>
      </c>
      <c r="C43">
        <v>116681858859.88901</v>
      </c>
      <c r="D43">
        <v>77525104966.170013</v>
      </c>
      <c r="E43">
        <v>206790710000</v>
      </c>
      <c r="F43">
        <v>395418762282.26489</v>
      </c>
    </row>
    <row r="44" spans="2:6" x14ac:dyDescent="0.3">
      <c r="B44" s="1">
        <v>43282</v>
      </c>
      <c r="C44">
        <v>115225049967.44901</v>
      </c>
      <c r="D44">
        <v>76721649813.990005</v>
      </c>
      <c r="E44">
        <v>205506740000</v>
      </c>
      <c r="F44">
        <v>397543453741.22491</v>
      </c>
    </row>
    <row r="45" spans="2:6" x14ac:dyDescent="0.3">
      <c r="B45" s="1">
        <v>43313</v>
      </c>
      <c r="C45">
        <v>114902149265.56</v>
      </c>
      <c r="D45">
        <v>77933935016.759995</v>
      </c>
      <c r="E45">
        <v>204535680000</v>
      </c>
      <c r="F45">
        <v>396217605517.33698</v>
      </c>
    </row>
    <row r="46" spans="2:6" x14ac:dyDescent="0.3">
      <c r="B46" s="1">
        <v>43344</v>
      </c>
      <c r="C46">
        <v>111841286259.472</v>
      </c>
      <c r="D46">
        <v>74938792810.819992</v>
      </c>
      <c r="E46">
        <v>204457060000</v>
      </c>
      <c r="F46">
        <v>398063841002.052</v>
      </c>
    </row>
    <row r="47" spans="2:6" x14ac:dyDescent="0.3">
      <c r="B47" s="1">
        <v>43374</v>
      </c>
      <c r="C47">
        <v>112068703678.44601</v>
      </c>
      <c r="D47">
        <v>74710905302.539993</v>
      </c>
      <c r="E47">
        <v>201784550000</v>
      </c>
      <c r="F47">
        <v>397839321530.37402</v>
      </c>
    </row>
    <row r="48" spans="2:6" x14ac:dyDescent="0.3">
      <c r="B48" s="1">
        <v>43405</v>
      </c>
      <c r="C48">
        <v>114115246222.633</v>
      </c>
      <c r="D48">
        <v>75682148677.340012</v>
      </c>
      <c r="E48">
        <v>203153030000</v>
      </c>
      <c r="F48">
        <v>398078931095.20502</v>
      </c>
    </row>
    <row r="49" spans="2:6" x14ac:dyDescent="0.3">
      <c r="B49" s="1">
        <v>43435</v>
      </c>
      <c r="C49">
        <v>117424645942.922</v>
      </c>
      <c r="D49">
        <v>79193369769.110001</v>
      </c>
      <c r="E49">
        <v>205641070000</v>
      </c>
      <c r="F49">
        <v>398780329741.70203</v>
      </c>
    </row>
    <row r="50" spans="2:6" x14ac:dyDescent="0.3">
      <c r="B50" s="1">
        <v>43466</v>
      </c>
      <c r="C50">
        <v>116772193014.72099</v>
      </c>
      <c r="D50">
        <v>82487075349.369995</v>
      </c>
      <c r="E50">
        <v>209910750000</v>
      </c>
      <c r="F50">
        <v>400587058922.44299</v>
      </c>
    </row>
    <row r="51" spans="2:6" x14ac:dyDescent="0.3">
      <c r="B51" s="1">
        <v>43497</v>
      </c>
      <c r="C51">
        <v>119934012481.12701</v>
      </c>
      <c r="D51">
        <v>82780833858.320007</v>
      </c>
      <c r="E51">
        <v>212540700000</v>
      </c>
      <c r="F51">
        <v>399735293869.65302</v>
      </c>
    </row>
    <row r="52" spans="2:6" x14ac:dyDescent="0.3">
      <c r="B52" s="1">
        <v>43525</v>
      </c>
      <c r="C52">
        <v>121269199866.062</v>
      </c>
      <c r="D52">
        <v>83613235476.609985</v>
      </c>
      <c r="E52">
        <v>212183050000</v>
      </c>
      <c r="F52">
        <v>400314754088.65509</v>
      </c>
    </row>
    <row r="53" spans="2:6" x14ac:dyDescent="0.3">
      <c r="B53" s="1">
        <v>43556</v>
      </c>
      <c r="C53">
        <v>121039179247.117</v>
      </c>
      <c r="D53">
        <v>83878770948.069992</v>
      </c>
      <c r="E53">
        <v>210500500000</v>
      </c>
      <c r="F53">
        <v>398986284851.67102</v>
      </c>
    </row>
    <row r="54" spans="2:6" x14ac:dyDescent="0.3">
      <c r="B54" s="1">
        <v>43586</v>
      </c>
      <c r="C54">
        <v>117113609356.10101</v>
      </c>
      <c r="D54">
        <v>85357459578.490005</v>
      </c>
      <c r="E54">
        <v>209955740000</v>
      </c>
      <c r="F54">
        <v>396919590170.5769</v>
      </c>
    </row>
    <row r="55" spans="2:6" x14ac:dyDescent="0.3">
      <c r="B55" s="1">
        <v>43617</v>
      </c>
      <c r="C55">
        <v>120281951799.33699</v>
      </c>
      <c r="D55">
        <v>84931550011.680008</v>
      </c>
      <c r="E55">
        <v>215808410000</v>
      </c>
      <c r="F55">
        <v>398016397672.50806</v>
      </c>
    </row>
    <row r="56" spans="2:6" x14ac:dyDescent="0.3">
      <c r="B56" s="1">
        <v>43647</v>
      </c>
      <c r="C56">
        <v>122299287090.66199</v>
      </c>
      <c r="D56">
        <v>85175756150.550003</v>
      </c>
      <c r="E56">
        <v>218365890000</v>
      </c>
      <c r="F56">
        <v>398052050776.539</v>
      </c>
    </row>
    <row r="57" spans="2:6" x14ac:dyDescent="0.3">
      <c r="B57" s="1">
        <v>43678</v>
      </c>
      <c r="C57">
        <v>122549482205.51601</v>
      </c>
      <c r="D57">
        <v>86031003714.330017</v>
      </c>
      <c r="E57">
        <v>220169710000</v>
      </c>
      <c r="F57">
        <v>396414219032.88885</v>
      </c>
    </row>
    <row r="58" spans="2:6" x14ac:dyDescent="0.3">
      <c r="B58" s="1">
        <v>43709</v>
      </c>
      <c r="C58">
        <v>120568337001.92101</v>
      </c>
      <c r="D58">
        <v>85581756988.349991</v>
      </c>
      <c r="E58">
        <v>220530700000</v>
      </c>
      <c r="F58">
        <v>398253889163.02002</v>
      </c>
    </row>
    <row r="59" spans="2:6" x14ac:dyDescent="0.3">
      <c r="B59" s="1">
        <v>43739</v>
      </c>
      <c r="C59">
        <v>122915409932.134</v>
      </c>
      <c r="D59">
        <v>85834057551.649994</v>
      </c>
      <c r="E59">
        <v>222782740000</v>
      </c>
      <c r="F59">
        <v>401283366663.62488</v>
      </c>
    </row>
    <row r="60" spans="2:6" x14ac:dyDescent="0.3">
      <c r="B60" s="1">
        <v>43770</v>
      </c>
      <c r="C60">
        <v>122953919050.63901</v>
      </c>
      <c r="D60">
        <v>86227577920.259995</v>
      </c>
      <c r="E60">
        <v>221036360000</v>
      </c>
      <c r="F60">
        <v>402393948117.7951</v>
      </c>
    </row>
    <row r="61" spans="2:6" x14ac:dyDescent="0.3">
      <c r="B61" s="1">
        <v>43800</v>
      </c>
      <c r="C61">
        <v>125339390220.65799</v>
      </c>
      <c r="D61">
        <v>87839536214.619995</v>
      </c>
      <c r="E61">
        <v>224326660000</v>
      </c>
      <c r="F61">
        <v>403704746313.85596</v>
      </c>
    </row>
    <row r="62" spans="2:6" x14ac:dyDescent="0.3">
      <c r="B62" s="1">
        <v>43831</v>
      </c>
      <c r="C62">
        <v>127735559801.69099</v>
      </c>
      <c r="D62">
        <v>86868552410.580002</v>
      </c>
      <c r="E62">
        <v>230309480000</v>
      </c>
      <c r="F62">
        <v>404547090736.6991</v>
      </c>
    </row>
    <row r="63" spans="2:6" x14ac:dyDescent="0.3">
      <c r="B63" s="1">
        <v>43862</v>
      </c>
      <c r="C63">
        <v>126302309068.569</v>
      </c>
      <c r="D63">
        <v>88186973478.509995</v>
      </c>
      <c r="E63">
        <v>229456050000</v>
      </c>
      <c r="F63">
        <v>404034790326.16888</v>
      </c>
    </row>
    <row r="64" spans="2:6" x14ac:dyDescent="0.3">
      <c r="B64" s="1">
        <v>43891</v>
      </c>
      <c r="C64">
        <v>116874655629.18399</v>
      </c>
      <c r="D64">
        <v>88861497258.949997</v>
      </c>
      <c r="E64">
        <v>226468690000</v>
      </c>
      <c r="F64">
        <v>395038306474.02698</v>
      </c>
    </row>
    <row r="65" spans="2:6" x14ac:dyDescent="0.3">
      <c r="B65" s="1">
        <v>43922</v>
      </c>
      <c r="C65">
        <v>123563205770.056</v>
      </c>
      <c r="D65">
        <v>90942706953.249985</v>
      </c>
      <c r="E65">
        <v>235708910000</v>
      </c>
      <c r="F65">
        <v>398510801886.00397</v>
      </c>
    </row>
    <row r="66" spans="2:6" x14ac:dyDescent="0.3">
      <c r="B66" s="1">
        <v>43952</v>
      </c>
      <c r="C66">
        <v>126211125225.306</v>
      </c>
      <c r="D66">
        <v>93288103109.389969</v>
      </c>
      <c r="E66">
        <v>237245780000</v>
      </c>
      <c r="F66">
        <v>401410904952.52106</v>
      </c>
    </row>
    <row r="67" spans="2:6" x14ac:dyDescent="0.3">
      <c r="B67" s="1">
        <v>43983</v>
      </c>
      <c r="C67">
        <v>127236011911.942</v>
      </c>
      <c r="D67">
        <v>93469870078.449982</v>
      </c>
      <c r="E67">
        <v>241583010000</v>
      </c>
      <c r="F67">
        <v>404799148766.20697</v>
      </c>
    </row>
    <row r="68" spans="2:6" x14ac:dyDescent="0.3">
      <c r="B68" s="1">
        <v>44013</v>
      </c>
      <c r="C68">
        <v>130128478816.132</v>
      </c>
      <c r="D68">
        <v>98600522044.009995</v>
      </c>
      <c r="E68">
        <v>250355510000</v>
      </c>
      <c r="F68">
        <v>410593404726.42999</v>
      </c>
    </row>
    <row r="69" spans="2:6" x14ac:dyDescent="0.3">
      <c r="B69" s="1">
        <v>44044</v>
      </c>
      <c r="C69">
        <v>132062022946.72699</v>
      </c>
      <c r="D69">
        <v>98954894274.73999</v>
      </c>
      <c r="E69">
        <v>254518260000</v>
      </c>
      <c r="F69">
        <v>412984446395.4649</v>
      </c>
    </row>
    <row r="70" spans="2:6" x14ac:dyDescent="0.3">
      <c r="B70" s="1">
        <v>44075</v>
      </c>
      <c r="C70">
        <v>130366649306.43199</v>
      </c>
      <c r="D70">
        <v>100443319322.19</v>
      </c>
      <c r="E70">
        <v>251053110000</v>
      </c>
      <c r="F70">
        <v>414590606559.83197</v>
      </c>
    </row>
    <row r="71" spans="2:6" x14ac:dyDescent="0.3">
      <c r="B71" s="1">
        <v>44105</v>
      </c>
      <c r="C71">
        <v>128828355301.83701</v>
      </c>
      <c r="D71">
        <v>103802617359.46001</v>
      </c>
      <c r="E71">
        <v>248511400000</v>
      </c>
      <c r="F71">
        <v>420544831611.97998</v>
      </c>
    </row>
    <row r="72" spans="2:6" x14ac:dyDescent="0.3">
      <c r="B72" s="1">
        <v>44136</v>
      </c>
      <c r="C72">
        <v>129065397378.067</v>
      </c>
      <c r="D72">
        <v>104815436334.57999</v>
      </c>
      <c r="E72">
        <v>253493750000</v>
      </c>
      <c r="F72">
        <v>430424542355.078</v>
      </c>
    </row>
    <row r="73" spans="2:6" x14ac:dyDescent="0.3">
      <c r="B73" s="1">
        <v>44166</v>
      </c>
      <c r="C73">
        <v>131139029065.84201</v>
      </c>
      <c r="D73">
        <v>110117434184.97998</v>
      </c>
      <c r="E73">
        <v>258134370000</v>
      </c>
      <c r="F73">
        <v>437112592614.3031</v>
      </c>
    </row>
    <row r="74" spans="2:6" x14ac:dyDescent="0.3">
      <c r="B74" s="1">
        <v>44197</v>
      </c>
      <c r="C74">
        <v>133352532466.451</v>
      </c>
      <c r="D74">
        <v>108673807555.73</v>
      </c>
      <c r="E74">
        <v>256838630000</v>
      </c>
      <c r="F74">
        <v>436754160058.38098</v>
      </c>
    </row>
    <row r="75" spans="2:6" x14ac:dyDescent="0.3">
      <c r="B75" s="1">
        <v>44228</v>
      </c>
      <c r="C75">
        <v>134292886347.81999</v>
      </c>
      <c r="D75">
        <v>105161198195.04001</v>
      </c>
      <c r="E75">
        <v>253916370000</v>
      </c>
      <c r="F75">
        <v>441529921314.45801</v>
      </c>
    </row>
    <row r="76" spans="2:6" x14ac:dyDescent="0.3">
      <c r="B76" s="1">
        <v>44256</v>
      </c>
      <c r="C76">
        <v>132849600065.702</v>
      </c>
      <c r="D76">
        <v>104483778782.73003</v>
      </c>
      <c r="E76">
        <v>245535070000</v>
      </c>
      <c r="F76">
        <v>440162891828.43597</v>
      </c>
    </row>
    <row r="77" spans="2:6" x14ac:dyDescent="0.3">
      <c r="B77" s="1">
        <v>44287</v>
      </c>
      <c r="C77">
        <v>134332574265.959</v>
      </c>
      <c r="D77">
        <v>107705106907.05003</v>
      </c>
      <c r="E77">
        <v>250372000000</v>
      </c>
      <c r="F77">
        <v>446318028736.33099</v>
      </c>
    </row>
    <row r="78" spans="2:6" x14ac:dyDescent="0.3">
      <c r="B78" s="1">
        <v>44317</v>
      </c>
      <c r="C78">
        <v>131585671517.507</v>
      </c>
      <c r="D78">
        <v>107250703705.80005</v>
      </c>
      <c r="E78">
        <v>251784340000</v>
      </c>
      <c r="F78">
        <v>450469742514.16101</v>
      </c>
    </row>
    <row r="79" spans="2:6" x14ac:dyDescent="0.3">
      <c r="B79" s="1">
        <v>44348</v>
      </c>
      <c r="C79">
        <v>132654263680.00201</v>
      </c>
      <c r="D79">
        <v>105762716633.75002</v>
      </c>
      <c r="E79">
        <v>246528760000</v>
      </c>
      <c r="F79">
        <v>448131287767.52087</v>
      </c>
    </row>
    <row r="80" spans="2:6" x14ac:dyDescent="0.3">
      <c r="B80" s="1">
        <v>44378</v>
      </c>
      <c r="C80">
        <v>132723921939.52901</v>
      </c>
      <c r="D80">
        <v>107151465067.63002</v>
      </c>
      <c r="E80">
        <v>248018700000</v>
      </c>
      <c r="F80">
        <v>452713795151.00397</v>
      </c>
    </row>
    <row r="81" spans="2:6" x14ac:dyDescent="0.3">
      <c r="B81" s="1">
        <v>44409</v>
      </c>
      <c r="C81">
        <v>140209666477.97202</v>
      </c>
      <c r="D81">
        <v>107964673925.04002</v>
      </c>
      <c r="E81">
        <v>252012590000</v>
      </c>
      <c r="F81">
        <v>457985994959.15497</v>
      </c>
    </row>
    <row r="82" spans="2:6" x14ac:dyDescent="0.3">
      <c r="B82" s="1">
        <v>44440</v>
      </c>
      <c r="C82">
        <v>142462749479.28098</v>
      </c>
      <c r="D82">
        <v>106596231376.35004</v>
      </c>
      <c r="E82">
        <v>244670550000</v>
      </c>
      <c r="F82">
        <v>457948887899.48499</v>
      </c>
    </row>
    <row r="83" spans="2:6" x14ac:dyDescent="0.3">
      <c r="B83" s="1">
        <v>44470</v>
      </c>
      <c r="C83">
        <v>140945772293.42499</v>
      </c>
      <c r="D83">
        <v>107888866504.90004</v>
      </c>
      <c r="E83">
        <v>246099830000</v>
      </c>
      <c r="F83">
        <v>463271289450.867</v>
      </c>
    </row>
    <row r="84" spans="2:6" x14ac:dyDescent="0.3">
      <c r="B84" s="1">
        <v>44501</v>
      </c>
      <c r="C84">
        <v>141346541826.35699</v>
      </c>
      <c r="D84">
        <v>107723636414.81004</v>
      </c>
      <c r="E84">
        <v>243016650000</v>
      </c>
      <c r="F84">
        <v>457996289518.34998</v>
      </c>
    </row>
    <row r="85" spans="2:6" x14ac:dyDescent="0.3">
      <c r="B85" s="1">
        <v>44531</v>
      </c>
      <c r="C85">
        <v>140310235087.496</v>
      </c>
      <c r="D85">
        <v>108794414703.29001</v>
      </c>
      <c r="E85">
        <v>245996760000</v>
      </c>
      <c r="F85">
        <v>457169379936.91199</v>
      </c>
    </row>
    <row r="86" spans="2:6" x14ac:dyDescent="0.3">
      <c r="B86" s="1">
        <v>44562</v>
      </c>
      <c r="C86">
        <v>136827585041.983</v>
      </c>
      <c r="D86">
        <v>107688567583.8</v>
      </c>
      <c r="E86">
        <v>242772440000</v>
      </c>
      <c r="F86">
        <v>455583882483.44299</v>
      </c>
    </row>
    <row r="87" spans="2:6" x14ac:dyDescent="0.3">
      <c r="B87" s="1">
        <v>44593</v>
      </c>
      <c r="C87">
        <v>136604347891.91501</v>
      </c>
      <c r="D87">
        <v>107801188531.36</v>
      </c>
      <c r="E87">
        <v>245052680000</v>
      </c>
      <c r="F87">
        <v>455833577101.4231</v>
      </c>
    </row>
    <row r="88" spans="2:6" x14ac:dyDescent="0.3">
      <c r="B88" s="1">
        <v>44621</v>
      </c>
      <c r="C88">
        <v>134259232249.44002</v>
      </c>
      <c r="D88">
        <v>107308909453.37997</v>
      </c>
      <c r="E88">
        <v>242430460000</v>
      </c>
      <c r="F88">
        <v>451865372152.25702</v>
      </c>
    </row>
    <row r="89" spans="2:6" x14ac:dyDescent="0.3">
      <c r="B89" s="1">
        <v>44652</v>
      </c>
      <c r="C89">
        <v>130864367641.017</v>
      </c>
      <c r="D89">
        <v>105400454395.65996</v>
      </c>
      <c r="E89">
        <v>228574510000</v>
      </c>
      <c r="F89">
        <v>443460756419.96002</v>
      </c>
    </row>
    <row r="90" spans="2:6" x14ac:dyDescent="0.3">
      <c r="B90" s="1">
        <v>44682</v>
      </c>
      <c r="C90">
        <v>130872699987.65001</v>
      </c>
      <c r="D90">
        <v>103646889350.31996</v>
      </c>
      <c r="E90">
        <v>229997870000</v>
      </c>
      <c r="F90">
        <v>441813330245.52399</v>
      </c>
    </row>
    <row r="91" spans="2:6" x14ac:dyDescent="0.3">
      <c r="B91" s="1">
        <v>44713</v>
      </c>
      <c r="C91">
        <v>131759279310.98801</v>
      </c>
      <c r="D91">
        <v>100853668468.53001</v>
      </c>
      <c r="E91">
        <v>222292500000</v>
      </c>
      <c r="F91">
        <v>432319726104.19403</v>
      </c>
    </row>
    <row r="92" spans="2:6" x14ac:dyDescent="0.3">
      <c r="B92" s="1">
        <v>44743</v>
      </c>
      <c r="C92">
        <v>127754186814.416</v>
      </c>
      <c r="D92">
        <v>99838579682.670029</v>
      </c>
      <c r="E92">
        <v>220019140000</v>
      </c>
      <c r="F92">
        <v>432821210106.4071</v>
      </c>
    </row>
    <row r="93" spans="2:6" x14ac:dyDescent="0.3">
      <c r="B93" s="1">
        <v>44774</v>
      </c>
      <c r="C93">
        <v>127836546540.974</v>
      </c>
      <c r="D93">
        <v>97441854367.620041</v>
      </c>
      <c r="E93">
        <v>215020440000</v>
      </c>
      <c r="F93">
        <v>430529645983.36896</v>
      </c>
    </row>
    <row r="94" spans="2:6" x14ac:dyDescent="0.3">
      <c r="B94" s="1">
        <v>44805</v>
      </c>
      <c r="C94">
        <v>126579037839.44701</v>
      </c>
      <c r="D94">
        <v>93000009939.77005</v>
      </c>
      <c r="E94">
        <v>199444550000</v>
      </c>
      <c r="F94">
        <v>410980207678.97894</v>
      </c>
    </row>
    <row r="95" spans="2:6" x14ac:dyDescent="0.3">
      <c r="B95" s="1">
        <v>44835</v>
      </c>
      <c r="C95">
        <v>126038262186.347</v>
      </c>
      <c r="D95">
        <v>94027865683.630051</v>
      </c>
      <c r="E95">
        <v>201906850000</v>
      </c>
      <c r="F95">
        <v>408128703886.961</v>
      </c>
    </row>
    <row r="96" spans="2:6" x14ac:dyDescent="0.3">
      <c r="B96" s="1">
        <v>44866</v>
      </c>
      <c r="C96">
        <v>129563558393.685</v>
      </c>
      <c r="D96">
        <v>95123189758.210037</v>
      </c>
      <c r="E96">
        <v>210696530000</v>
      </c>
      <c r="F96">
        <v>410240310006.33801</v>
      </c>
    </row>
    <row r="97" spans="2:6" x14ac:dyDescent="0.3">
      <c r="B97" s="1">
        <v>44896</v>
      </c>
      <c r="C97">
        <v>132644357980.272</v>
      </c>
      <c r="D97">
        <v>96149171235.700012</v>
      </c>
      <c r="E97">
        <v>216632540000</v>
      </c>
      <c r="F97">
        <v>417280090434.54999</v>
      </c>
    </row>
    <row r="98" spans="2:6" x14ac:dyDescent="0.3">
      <c r="B98" s="1">
        <v>44927</v>
      </c>
      <c r="C98">
        <v>134547228593.46599</v>
      </c>
      <c r="D98">
        <v>100665502296.8</v>
      </c>
      <c r="E98">
        <v>225486900000</v>
      </c>
      <c r="F98">
        <v>424026485089.323</v>
      </c>
    </row>
    <row r="99" spans="2:6" x14ac:dyDescent="0.3">
      <c r="B99" s="1">
        <v>44958</v>
      </c>
      <c r="C99">
        <v>135754814227.411</v>
      </c>
      <c r="D99">
        <v>98216138526.960007</v>
      </c>
      <c r="E99">
        <v>217430870000</v>
      </c>
      <c r="F99">
        <v>419443904151.30499</v>
      </c>
    </row>
    <row r="100" spans="2:6" x14ac:dyDescent="0.3">
      <c r="B100" s="1">
        <v>44986</v>
      </c>
      <c r="C100">
        <v>140196854408.603</v>
      </c>
      <c r="D100">
        <v>101548282462.46002</v>
      </c>
      <c r="E100">
        <v>224481820000</v>
      </c>
      <c r="F100">
        <v>419972229148.91803</v>
      </c>
    </row>
    <row r="101" spans="2:6" x14ac:dyDescent="0.3">
      <c r="B101" s="1">
        <v>45017</v>
      </c>
      <c r="C101">
        <v>139131937133.53998</v>
      </c>
      <c r="D101">
        <v>101760635609.19002</v>
      </c>
      <c r="E101">
        <v>223445570000</v>
      </c>
      <c r="F101">
        <v>420531802147.98004</v>
      </c>
    </row>
    <row r="102" spans="2:6" x14ac:dyDescent="0.3">
      <c r="B102" s="1">
        <v>45047</v>
      </c>
      <c r="C102">
        <v>134322762592.69699</v>
      </c>
      <c r="D102">
        <v>100588624352.77003</v>
      </c>
      <c r="E102">
        <v>220782340000</v>
      </c>
      <c r="F102">
        <v>414860122797.604</v>
      </c>
    </row>
    <row r="103" spans="2:6" x14ac:dyDescent="0.3">
      <c r="B103" s="1">
        <v>45078</v>
      </c>
      <c r="C103">
        <v>132642637666.19901</v>
      </c>
      <c r="D103">
        <v>99386740800.740021</v>
      </c>
      <c r="E103">
        <v>218227680000</v>
      </c>
      <c r="F103">
        <v>415323758063.44501</v>
      </c>
    </row>
    <row r="104" spans="2:6" x14ac:dyDescent="0.3">
      <c r="B104" s="1">
        <v>45108</v>
      </c>
      <c r="C104">
        <v>132735023302.83099</v>
      </c>
      <c r="D104">
        <v>99951448527.360046</v>
      </c>
      <c r="E104">
        <v>220718000000</v>
      </c>
      <c r="F104">
        <v>415718954603.00397</v>
      </c>
    </row>
    <row r="105" spans="2:6" x14ac:dyDescent="0.3">
      <c r="B105" s="1">
        <v>45139</v>
      </c>
      <c r="C105">
        <v>132175978969.73399</v>
      </c>
      <c r="D105">
        <v>99567906587.89006</v>
      </c>
      <c r="E105">
        <v>216932760000</v>
      </c>
      <c r="F105">
        <v>412228735418.612</v>
      </c>
    </row>
    <row r="106" spans="2:6" x14ac:dyDescent="0.3">
      <c r="B106" s="1">
        <v>45170</v>
      </c>
      <c r="C106">
        <v>130147364552.711</v>
      </c>
      <c r="D106">
        <v>98115969455.810013</v>
      </c>
      <c r="E106">
        <v>211750230000</v>
      </c>
      <c r="F106">
        <v>408085359231.58002</v>
      </c>
    </row>
    <row r="107" spans="2:6" x14ac:dyDescent="0.3">
      <c r="B107" s="1">
        <v>45200</v>
      </c>
      <c r="C107">
        <v>128113214985.045</v>
      </c>
      <c r="D107">
        <v>101035155405.75998</v>
      </c>
      <c r="E107">
        <v>210925400000</v>
      </c>
      <c r="F107">
        <v>406854466374.16602</v>
      </c>
    </row>
    <row r="108" spans="2:6" x14ac:dyDescent="0.3">
      <c r="B108" s="1">
        <v>45231</v>
      </c>
      <c r="C108">
        <v>132914351368.271</v>
      </c>
      <c r="D108">
        <v>102720139135.29999</v>
      </c>
      <c r="E108">
        <v>219086890000</v>
      </c>
      <c r="F108">
        <v>410959487230.63599</v>
      </c>
    </row>
    <row r="109" spans="2:6" x14ac:dyDescent="0.3">
      <c r="B109" s="1">
        <v>45261</v>
      </c>
      <c r="C109">
        <v>141149364857.112</v>
      </c>
      <c r="D109">
        <v>103753228918.42</v>
      </c>
      <c r="E109">
        <v>224483890000</v>
      </c>
      <c r="F109">
        <v>414004455885.98486</v>
      </c>
    </row>
    <row r="110" spans="2:6" x14ac:dyDescent="0.3">
      <c r="B110" s="1">
        <v>45292</v>
      </c>
      <c r="C110">
        <v>139905364331.83301</v>
      </c>
      <c r="D110">
        <v>103269901747.65001</v>
      </c>
      <c r="E110">
        <v>221626590000</v>
      </c>
      <c r="F110">
        <v>409630958191.48999</v>
      </c>
    </row>
    <row r="111" spans="2:6" x14ac:dyDescent="0.3">
      <c r="B111" s="1">
        <v>45323</v>
      </c>
      <c r="C111">
        <v>138899244265.89001</v>
      </c>
      <c r="D111">
        <v>101994498577.84999</v>
      </c>
      <c r="E111">
        <v>222435040000</v>
      </c>
      <c r="F111">
        <v>409633386762.73798</v>
      </c>
    </row>
    <row r="112" spans="2:6" x14ac:dyDescent="0.3">
      <c r="B112" s="1">
        <v>45352</v>
      </c>
      <c r="C112">
        <v>134841953521.14999</v>
      </c>
      <c r="D112">
        <v>104067517621.14003</v>
      </c>
      <c r="E112">
        <v>223363270000</v>
      </c>
      <c r="F112">
        <v>413141851973.17999</v>
      </c>
    </row>
    <row r="113" spans="2:6" x14ac:dyDescent="0.3">
      <c r="B113" s="1">
        <v>45383</v>
      </c>
      <c r="C113">
        <v>130363578520.94099</v>
      </c>
      <c r="D113">
        <v>102647754826.15005</v>
      </c>
      <c r="E113">
        <v>221069820000</v>
      </c>
      <c r="F113">
        <v>407146321632.42999</v>
      </c>
    </row>
    <row r="114" spans="2:6" x14ac:dyDescent="0.3">
      <c r="B114" s="1">
        <v>45413</v>
      </c>
      <c r="C114">
        <v>133070445944.67599</v>
      </c>
      <c r="D114">
        <v>105015612140.25002</v>
      </c>
      <c r="E114">
        <v>224333600000</v>
      </c>
      <c r="F114">
        <v>406727359460.32703</v>
      </c>
    </row>
    <row r="115" spans="2:6" x14ac:dyDescent="0.3">
      <c r="B115" s="1">
        <v>45444</v>
      </c>
      <c r="C115">
        <v>134304194847.571</v>
      </c>
      <c r="D115">
        <v>105188872222.01001</v>
      </c>
      <c r="E115">
        <v>224328600000</v>
      </c>
      <c r="F115">
        <v>406109321088.68298</v>
      </c>
    </row>
    <row r="116" spans="2:6" x14ac:dyDescent="0.3">
      <c r="B116" s="1">
        <v>45474</v>
      </c>
      <c r="C116">
        <v>139327488130.63199</v>
      </c>
      <c r="D116">
        <v>106737816558.16</v>
      </c>
      <c r="E116">
        <v>230624330000</v>
      </c>
      <c r="F116">
        <v>407440382632.22803</v>
      </c>
    </row>
    <row r="117" spans="2:6" x14ac:dyDescent="0.3">
      <c r="B117" s="1">
        <v>45505</v>
      </c>
      <c r="C117">
        <v>143869760356.09601</v>
      </c>
      <c r="D117">
        <v>107857557863.88997</v>
      </c>
      <c r="E117">
        <v>235684780000</v>
      </c>
      <c r="F117">
        <v>409770693591.96796</v>
      </c>
    </row>
    <row r="118" spans="2:6" x14ac:dyDescent="0.3">
      <c r="B118" s="1">
        <v>45536</v>
      </c>
      <c r="C118">
        <v>143232254637.96402</v>
      </c>
      <c r="D118">
        <v>112706919192.09996</v>
      </c>
      <c r="E118">
        <v>243007410000</v>
      </c>
      <c r="F118">
        <v>413851596411.69</v>
      </c>
    </row>
    <row r="119" spans="2:6" x14ac:dyDescent="0.3">
      <c r="B119" s="1">
        <v>45566</v>
      </c>
      <c r="C119">
        <v>144216272327.33701</v>
      </c>
      <c r="D119">
        <v>111083722126.55</v>
      </c>
      <c r="E119">
        <v>238550540000</v>
      </c>
      <c r="F119">
        <v>409616885730.18298</v>
      </c>
    </row>
    <row r="120" spans="2:6" x14ac:dyDescent="0.3">
      <c r="B120" s="1">
        <v>45597</v>
      </c>
      <c r="C120">
        <v>143518270197.24402</v>
      </c>
      <c r="D120">
        <v>108488025411.82001</v>
      </c>
      <c r="E120">
        <v>237500590000</v>
      </c>
      <c r="F120">
        <v>409307057796.42798</v>
      </c>
    </row>
    <row r="121" spans="2:6" x14ac:dyDescent="0.3">
      <c r="B121" s="1">
        <v>45627</v>
      </c>
      <c r="C121">
        <v>149117682033.45898</v>
      </c>
      <c r="D121">
        <v>106256486165.76001</v>
      </c>
      <c r="E121">
        <v>237045760000</v>
      </c>
      <c r="F121">
        <v>409457248116.74603</v>
      </c>
    </row>
    <row r="122" spans="2:6" x14ac:dyDescent="0.3">
      <c r="B122" s="1">
        <v>45658</v>
      </c>
      <c r="C122">
        <v>149007279645.77698</v>
      </c>
      <c r="D122">
        <v>103271181730.51001</v>
      </c>
      <c r="E122">
        <v>242083570000</v>
      </c>
      <c r="F122">
        <v>404837981604.33899</v>
      </c>
    </row>
    <row r="123" spans="2:6" x14ac:dyDescent="0.3">
      <c r="B123" s="1">
        <v>45689</v>
      </c>
      <c r="C123">
        <v>147262544889.38901</v>
      </c>
      <c r="D123">
        <v>107395135883.90001</v>
      </c>
      <c r="E123">
        <v>244755710000</v>
      </c>
      <c r="F123">
        <v>402989855493.17999</v>
      </c>
    </row>
    <row r="124" spans="2:6" x14ac:dyDescent="0.3">
      <c r="B124" s="1">
        <v>45717</v>
      </c>
      <c r="C124">
        <v>149435179668.01199</v>
      </c>
      <c r="D124">
        <v>106669671669.01001</v>
      </c>
      <c r="E124">
        <v>245303690000</v>
      </c>
      <c r="F124">
        <v>403524192612.414</v>
      </c>
    </row>
    <row r="125" spans="2:6" x14ac:dyDescent="0.3">
      <c r="B125" s="1">
        <v>45748</v>
      </c>
      <c r="C125">
        <v>144109871764.901</v>
      </c>
      <c r="D125">
        <v>105307766721.36</v>
      </c>
      <c r="E125">
        <v>256789260000</v>
      </c>
      <c r="F125">
        <v>398460828029.46802</v>
      </c>
    </row>
    <row r="126" spans="2:6" x14ac:dyDescent="0.3">
      <c r="B126" s="1">
        <v>45778</v>
      </c>
      <c r="C126">
        <v>144092428137.608</v>
      </c>
      <c r="D126">
        <v>105176466182.73996</v>
      </c>
      <c r="E126">
        <v>257550540000</v>
      </c>
      <c r="F126">
        <v>398428163623.33685</v>
      </c>
    </row>
    <row r="127" spans="2:6" x14ac:dyDescent="0.3">
      <c r="B127" s="1">
        <v>45809</v>
      </c>
      <c r="C127">
        <v>144250582849.68399</v>
      </c>
      <c r="D127">
        <v>105998082514.60997</v>
      </c>
      <c r="E127">
        <v>262404729999.99997</v>
      </c>
      <c r="F127">
        <v>403999602846.66089</v>
      </c>
    </row>
    <row r="128" spans="2:6" x14ac:dyDescent="0.3">
      <c r="B128" s="1">
        <v>45839</v>
      </c>
      <c r="D128">
        <v>105418246695.17996</v>
      </c>
      <c r="E128">
        <v>261884310000</v>
      </c>
    </row>
    <row r="129" spans="2:5" x14ac:dyDescent="0.3">
      <c r="B129" s="1">
        <v>45870</v>
      </c>
      <c r="D129">
        <v>107097922466.51997</v>
      </c>
      <c r="E129">
        <v>267351450000</v>
      </c>
    </row>
    <row r="130" spans="2:5" x14ac:dyDescent="0.3">
      <c r="B130" s="1">
        <v>45901</v>
      </c>
      <c r="D130">
        <v>109059467236.48996</v>
      </c>
      <c r="E130">
        <v>273272500000</v>
      </c>
    </row>
    <row r="131" spans="2:5" x14ac:dyDescent="0.3">
      <c r="B131" s="1">
        <v>45931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F99CBC-661C-46FE-9007-933852BE5D7E}">
  <dimension ref="B1:Z131"/>
  <sheetViews>
    <sheetView tabSelected="1" workbookViewId="0">
      <selection activeCell="W12" sqref="W12"/>
    </sheetView>
  </sheetViews>
  <sheetFormatPr defaultRowHeight="14.4" x14ac:dyDescent="0.3"/>
  <cols>
    <col min="2" max="2" width="10.33203125" bestFit="1" customWidth="1"/>
  </cols>
  <sheetData>
    <row r="1" spans="2:26" x14ac:dyDescent="0.3">
      <c r="B1" t="s">
        <v>0</v>
      </c>
      <c r="C1" t="s">
        <v>1</v>
      </c>
      <c r="D1" t="s">
        <v>2</v>
      </c>
      <c r="E1" t="s">
        <v>3</v>
      </c>
      <c r="F1" t="s">
        <v>4</v>
      </c>
    </row>
    <row r="2" spans="2:26" x14ac:dyDescent="0.3">
      <c r="B2" s="1">
        <v>42005</v>
      </c>
      <c r="C2">
        <f>'International reserves'!C2/'International reserves'!C$2</f>
        <v>1</v>
      </c>
      <c r="D2">
        <f>'International reserves'!D2/'International reserves'!D$2</f>
        <v>1</v>
      </c>
      <c r="E2">
        <f>'International reserves'!E2/'International reserves'!E$2</f>
        <v>1</v>
      </c>
      <c r="F2">
        <f>'International reserves'!F2/'International reserves'!F$2</f>
        <v>1</v>
      </c>
    </row>
    <row r="3" spans="2:26" x14ac:dyDescent="0.3">
      <c r="B3" s="1">
        <v>42036</v>
      </c>
      <c r="C3">
        <f>'International reserves'!C3/'International reserves'!C$2</f>
        <v>1.0127403680672897</v>
      </c>
      <c r="D3">
        <f>'International reserves'!D3/'International reserves'!D$2</f>
        <v>1.0014993627272519</v>
      </c>
      <c r="E3">
        <f>'International reserves'!E3/'International reserves'!E$2</f>
        <v>1.009730734207245</v>
      </c>
      <c r="F3">
        <f>'International reserves'!F3/'International reserves'!F$2</f>
        <v>1.0004372325646287</v>
      </c>
      <c r="W3" t="s">
        <v>1</v>
      </c>
      <c r="X3" t="s">
        <v>2</v>
      </c>
      <c r="Y3" t="s">
        <v>3</v>
      </c>
      <c r="Z3" t="s">
        <v>4</v>
      </c>
    </row>
    <row r="4" spans="2:26" x14ac:dyDescent="0.3">
      <c r="B4" s="1">
        <v>42064</v>
      </c>
      <c r="C4">
        <f>'International reserves'!C4/'International reserves'!C$2</f>
        <v>0.97752515505911475</v>
      </c>
      <c r="D4">
        <f>'International reserves'!D4/'International reserves'!D$2</f>
        <v>0.99681006445922027</v>
      </c>
      <c r="E4">
        <f>'International reserves'!E4/'International reserves'!E$2</f>
        <v>1.0057660702877906</v>
      </c>
      <c r="F4">
        <f>'International reserves'!F4/'International reserves'!F$2</f>
        <v>1.0015326709239076</v>
      </c>
      <c r="V4" t="s">
        <v>5</v>
      </c>
      <c r="W4">
        <f>MIN(C2:C130)</f>
        <v>0.87860493106795712</v>
      </c>
      <c r="X4">
        <f t="shared" ref="X4:Z4" si="0">MIN(D2:D130)</f>
        <v>0.92560233116155355</v>
      </c>
      <c r="Y4">
        <f t="shared" si="0"/>
        <v>1</v>
      </c>
      <c r="Z4">
        <f t="shared" si="0"/>
        <v>1</v>
      </c>
    </row>
    <row r="5" spans="2:26" x14ac:dyDescent="0.3">
      <c r="B5" s="1">
        <v>42095</v>
      </c>
      <c r="C5">
        <f>'International reserves'!C5/'International reserves'!C$2</f>
        <v>0.97104173827091189</v>
      </c>
      <c r="D5">
        <f>'International reserves'!D5/'International reserves'!D$2</f>
        <v>1.0016617470925058</v>
      </c>
      <c r="E5">
        <f>'International reserves'!E5/'International reserves'!E$2</f>
        <v>1.0365472268231068</v>
      </c>
      <c r="F5">
        <f>'International reserves'!F5/'International reserves'!F$2</f>
        <v>1.021668268435505</v>
      </c>
      <c r="V5" t="s">
        <v>6</v>
      </c>
      <c r="W5">
        <f>MAX(C2:C130)</f>
        <v>1.3454536342931849</v>
      </c>
      <c r="X5">
        <f t="shared" ref="X5:Z5" si="1">MAX(D2:D130)</f>
        <v>1.3963394864484111</v>
      </c>
      <c r="Y5">
        <f t="shared" si="1"/>
        <v>1.7582499528223008</v>
      </c>
      <c r="Z5">
        <f t="shared" si="1"/>
        <v>1.2962967652857478</v>
      </c>
    </row>
    <row r="6" spans="2:26" x14ac:dyDescent="0.3">
      <c r="B6" s="1">
        <v>42125</v>
      </c>
      <c r="C6">
        <f>'International reserves'!C6/'International reserves'!C$2</f>
        <v>0.97056961223967009</v>
      </c>
      <c r="D6">
        <f>'International reserves'!D6/'International reserves'!D$2</f>
        <v>0.99614763134636775</v>
      </c>
      <c r="E6">
        <f>'International reserves'!E6/'International reserves'!E$2</f>
        <v>1.0199157126090919</v>
      </c>
      <c r="F6">
        <f>'International reserves'!F6/'International reserves'!F$2</f>
        <v>1.0260768662408313</v>
      </c>
      <c r="V6" t="s">
        <v>7</v>
      </c>
      <c r="W6">
        <f>AVERAGE(C2:C130)</f>
        <v>1.1272727780953182</v>
      </c>
      <c r="X6">
        <f t="shared" ref="X6:Z6" si="2">AVERAGE(D2:D130)</f>
        <v>1.1474776043702166</v>
      </c>
      <c r="Y6">
        <f t="shared" si="2"/>
        <v>1.3797504220476158</v>
      </c>
      <c r="Z6">
        <f t="shared" si="2"/>
        <v>1.1249036335356446</v>
      </c>
    </row>
    <row r="7" spans="2:26" x14ac:dyDescent="0.3">
      <c r="B7" s="1">
        <v>42156</v>
      </c>
      <c r="C7">
        <f>'International reserves'!C7/'International reserves'!C$2</f>
        <v>0.94613356249956604</v>
      </c>
      <c r="D7">
        <f>'International reserves'!D7/'International reserves'!D$2</f>
        <v>0.99911136081518004</v>
      </c>
      <c r="E7">
        <f>'International reserves'!E7/'International reserves'!E$2</f>
        <v>1.0312113373689005</v>
      </c>
      <c r="F7">
        <f>'International reserves'!F7/'International reserves'!F$2</f>
        <v>1.0351759269470058</v>
      </c>
      <c r="V7" t="s">
        <v>8</v>
      </c>
      <c r="W7">
        <f>_xlfn.STDEV.S(C2:C130)</f>
        <v>0.11471181540346345</v>
      </c>
      <c r="X7">
        <f t="shared" ref="X7:Z7" si="3">_xlfn.STDEV.S(D2:D130)</f>
        <v>0.14127654590780947</v>
      </c>
      <c r="Y7">
        <f t="shared" si="3"/>
        <v>0.19439144065849201</v>
      </c>
      <c r="Z7">
        <f t="shared" si="3"/>
        <v>7.6034900337872871E-2</v>
      </c>
    </row>
    <row r="8" spans="2:26" x14ac:dyDescent="0.3">
      <c r="B8" s="1">
        <v>42186</v>
      </c>
      <c r="C8">
        <f>'International reserves'!C8/'International reserves'!C$2</f>
        <v>0.94379242862213808</v>
      </c>
      <c r="D8">
        <f>'International reserves'!D8/'International reserves'!D$2</f>
        <v>0.99524751273969159</v>
      </c>
      <c r="E8">
        <f>'International reserves'!E8/'International reserves'!E$2</f>
        <v>1.009786324431627</v>
      </c>
      <c r="F8">
        <f>'International reserves'!F8/'International reserves'!F$2</f>
        <v>1.0241594414884827</v>
      </c>
      <c r="V8" t="s">
        <v>9</v>
      </c>
      <c r="W8">
        <f>W7/W6</f>
        <v>0.10176047681847225</v>
      </c>
      <c r="X8">
        <f t="shared" ref="X8:Z8" si="4">X7/X6</f>
        <v>0.12311921851001868</v>
      </c>
      <c r="Y8">
        <f t="shared" si="4"/>
        <v>0.14088884304887966</v>
      </c>
      <c r="Z8">
        <f t="shared" si="4"/>
        <v>6.7592367978126511E-2</v>
      </c>
    </row>
    <row r="9" spans="2:26" x14ac:dyDescent="0.3">
      <c r="B9" s="1">
        <v>42217</v>
      </c>
      <c r="C9">
        <f>'International reserves'!C9/'International reserves'!C$2</f>
        <v>0.92276943043535342</v>
      </c>
      <c r="D9">
        <f>'International reserves'!D9/'International reserves'!D$2</f>
        <v>0.99429415956556233</v>
      </c>
      <c r="E9">
        <f>'International reserves'!E9/'International reserves'!E$2</f>
        <v>1.0026707113702147</v>
      </c>
      <c r="F9">
        <f>'International reserves'!F9/'International reserves'!F$2</f>
        <v>1.0160429112524931</v>
      </c>
    </row>
    <row r="10" spans="2:26" x14ac:dyDescent="0.3">
      <c r="B10" s="1">
        <v>42248</v>
      </c>
      <c r="C10">
        <f>'International reserves'!C10/'International reserves'!C$2</f>
        <v>0.89024067127240925</v>
      </c>
      <c r="D10">
        <f>'International reserves'!D10/'International reserves'!D$2</f>
        <v>0.99794991290926027</v>
      </c>
      <c r="E10">
        <f>'International reserves'!E10/'International reserves'!E$2</f>
        <v>1.0007104482148428</v>
      </c>
      <c r="F10">
        <f>'International reserves'!F10/'International reserves'!F$2</f>
        <v>1.016566526363446</v>
      </c>
    </row>
    <row r="11" spans="2:26" x14ac:dyDescent="0.3">
      <c r="B11" s="1">
        <v>42278</v>
      </c>
      <c r="C11">
        <f>'International reserves'!C11/'International reserves'!C$2</f>
        <v>0.88087764870614349</v>
      </c>
      <c r="D11">
        <f>'International reserves'!D11/'International reserves'!D$2</f>
        <v>1.0047305870087497</v>
      </c>
      <c r="E11">
        <f>'International reserves'!E11/'International reserves'!E$2</f>
        <v>1.0184716535859137</v>
      </c>
      <c r="F11">
        <f>'International reserves'!F11/'International reserves'!F$2</f>
        <v>1.0207738503901778</v>
      </c>
    </row>
    <row r="12" spans="2:26" x14ac:dyDescent="0.3">
      <c r="B12" s="1">
        <v>42309</v>
      </c>
      <c r="C12">
        <f>'International reserves'!C12/'International reserves'!C$2</f>
        <v>0.87860493106795712</v>
      </c>
      <c r="D12">
        <f>'International reserves'!D12/'International reserves'!D$2</f>
        <v>0.99327518055983288</v>
      </c>
      <c r="E12">
        <f>'International reserves'!E12/'International reserves'!E$2</f>
        <v>1.0016597285048077</v>
      </c>
      <c r="F12">
        <f>'International reserves'!F12/'International reserves'!F$2</f>
        <v>1.0175424488107021</v>
      </c>
    </row>
    <row r="13" spans="2:26" x14ac:dyDescent="0.3">
      <c r="B13" s="1">
        <v>42339</v>
      </c>
      <c r="C13">
        <f>'International reserves'!C13/'International reserves'!C$2</f>
        <v>0.92978533342203051</v>
      </c>
      <c r="D13">
        <f>'International reserves'!D13/'International reserves'!D$2</f>
        <v>0.99939142418997451</v>
      </c>
      <c r="E13">
        <f>'International reserves'!E13/'International reserves'!E$2</f>
        <v>1.0070191665957313</v>
      </c>
      <c r="F13">
        <f>'International reserves'!F13/'International reserves'!F$2</f>
        <v>1.0161417575117215</v>
      </c>
    </row>
    <row r="14" spans="2:26" x14ac:dyDescent="0.3">
      <c r="B14" s="1">
        <v>42370</v>
      </c>
      <c r="C14">
        <f>'International reserves'!C14/'International reserves'!C$2</f>
        <v>0.89436412865967319</v>
      </c>
      <c r="D14">
        <f>'International reserves'!D14/'International reserves'!D$2</f>
        <v>0.99970810523639431</v>
      </c>
      <c r="E14">
        <f>'International reserves'!E14/'International reserves'!E$2</f>
        <v>1.0301836903042862</v>
      </c>
      <c r="F14">
        <f>'International reserves'!F14/'International reserves'!F$2</f>
        <v>1.01426436000902</v>
      </c>
    </row>
    <row r="15" spans="2:26" x14ac:dyDescent="0.3">
      <c r="B15" s="1">
        <v>42401</v>
      </c>
      <c r="C15">
        <f>'International reserves'!C15/'International reserves'!C$2</f>
        <v>0.91342818626380251</v>
      </c>
      <c r="D15">
        <f>'International reserves'!D15/'International reserves'!D$2</f>
        <v>1.0143912398318786</v>
      </c>
      <c r="E15">
        <f>'International reserves'!E15/'International reserves'!E$2</f>
        <v>1.0807365009852787</v>
      </c>
      <c r="F15">
        <f>'International reserves'!F15/'International reserves'!F$2</f>
        <v>1.0099253845025029</v>
      </c>
    </row>
    <row r="16" spans="2:26" x14ac:dyDescent="0.3">
      <c r="B16" s="1">
        <v>42430</v>
      </c>
      <c r="C16">
        <f>'International reserves'!C16/'International reserves'!C$2</f>
        <v>0.94036962127108359</v>
      </c>
      <c r="D16">
        <f>'International reserves'!D16/'International reserves'!D$2</f>
        <v>1.0280124879931485</v>
      </c>
      <c r="E16">
        <f>'International reserves'!E16/'International reserves'!E$2</f>
        <v>1.1264309576812339</v>
      </c>
      <c r="F16">
        <f>'International reserves'!F16/'International reserves'!F$2</f>
        <v>1.0214256929264305</v>
      </c>
    </row>
    <row r="17" spans="2:6" x14ac:dyDescent="0.3">
      <c r="B17" s="1">
        <v>42461</v>
      </c>
      <c r="C17">
        <f>'International reserves'!C17/'International reserves'!C$2</f>
        <v>0.94146460464176318</v>
      </c>
      <c r="D17">
        <f>'International reserves'!D17/'International reserves'!D$2</f>
        <v>1.0374186835441721</v>
      </c>
      <c r="E17">
        <f>'International reserves'!E17/'International reserves'!E$2</f>
        <v>1.1489182972328229</v>
      </c>
      <c r="F17">
        <f>'International reserves'!F17/'International reserves'!F$2</f>
        <v>1.0288302227806387</v>
      </c>
    </row>
    <row r="18" spans="2:6" x14ac:dyDescent="0.3">
      <c r="B18" s="1">
        <v>42491</v>
      </c>
      <c r="C18">
        <f>'International reserves'!C18/'International reserves'!C$2</f>
        <v>0.90515677561344055</v>
      </c>
      <c r="D18">
        <f>'International reserves'!D18/'International reserves'!D$2</f>
        <v>1.02739497376013</v>
      </c>
      <c r="E18">
        <f>'International reserves'!E18/'International reserves'!E$2</f>
        <v>1.1290284495197975</v>
      </c>
      <c r="F18">
        <f>'International reserves'!F18/'International reserves'!F$2</f>
        <v>1.0243387391833081</v>
      </c>
    </row>
    <row r="19" spans="2:6" x14ac:dyDescent="0.3">
      <c r="B19" s="1">
        <v>42522</v>
      </c>
      <c r="C19">
        <f>'International reserves'!C19/'International reserves'!C$2</f>
        <v>0.95867925271228849</v>
      </c>
      <c r="D19">
        <f>'International reserves'!D19/'International reserves'!D$2</f>
        <v>1.056597608249271</v>
      </c>
      <c r="E19">
        <f>'International reserves'!E19/'International reserves'!E$2</f>
        <v>1.149565241337174</v>
      </c>
      <c r="F19">
        <f>'International reserves'!F19/'International reserves'!F$2</f>
        <v>1.021572761152491</v>
      </c>
    </row>
    <row r="20" spans="2:6" x14ac:dyDescent="0.3">
      <c r="B20" s="1">
        <v>42552</v>
      </c>
      <c r="C20">
        <f>'International reserves'!C20/'International reserves'!C$2</f>
        <v>0.97280881419212006</v>
      </c>
      <c r="D20">
        <f>'International reserves'!D20/'International reserves'!D$2</f>
        <v>1.0593468711652692</v>
      </c>
      <c r="E20">
        <f>'International reserves'!E20/'International reserves'!E$2</f>
        <v>1.1594400340078346</v>
      </c>
      <c r="F20">
        <f>'International reserves'!F20/'International reserves'!F$2</f>
        <v>1.0257548414920128</v>
      </c>
    </row>
    <row r="21" spans="2:6" x14ac:dyDescent="0.3">
      <c r="B21" s="1">
        <v>42583</v>
      </c>
      <c r="C21">
        <f>'International reserves'!C21/'International reserves'!C$2</f>
        <v>0.99242954647032244</v>
      </c>
      <c r="D21">
        <f>'International reserves'!D21/'International reserves'!D$2</f>
        <v>1.0628870778215029</v>
      </c>
      <c r="E21">
        <f>'International reserves'!E21/'International reserves'!E$2</f>
        <v>1.16329390352175</v>
      </c>
      <c r="F21">
        <f>'International reserves'!F21/'International reserves'!F$2</f>
        <v>1.0371189496650119</v>
      </c>
    </row>
    <row r="22" spans="2:6" x14ac:dyDescent="0.3">
      <c r="B22" s="1">
        <v>42614</v>
      </c>
      <c r="C22">
        <f>'International reserves'!C22/'International reserves'!C$2</f>
        <v>1.0116196707419327</v>
      </c>
      <c r="D22">
        <f>'International reserves'!D22/'International reserves'!D$2</f>
        <v>1.0671877153256004</v>
      </c>
      <c r="E22">
        <f>'International reserves'!E22/'International reserves'!E$2</f>
        <v>1.1611455729753271</v>
      </c>
      <c r="F22">
        <f>'International reserves'!F22/'International reserves'!F$2</f>
        <v>1.0435764674959147</v>
      </c>
    </row>
    <row r="23" spans="2:6" x14ac:dyDescent="0.3">
      <c r="B23" s="1">
        <v>42644</v>
      </c>
      <c r="C23">
        <f>'International reserves'!C23/'International reserves'!C$2</f>
        <v>1.0070147550676349</v>
      </c>
      <c r="D23">
        <f>'International reserves'!D23/'International reserves'!D$2</f>
        <v>1.0543856189116487</v>
      </c>
      <c r="E23">
        <f>'International reserves'!E23/'International reserves'!E$2</f>
        <v>1.159810056438876</v>
      </c>
      <c r="F23">
        <f>'International reserves'!F23/'International reserves'!F$2</f>
        <v>1.036331927499101</v>
      </c>
    </row>
    <row r="24" spans="2:6" x14ac:dyDescent="0.3">
      <c r="B24" s="1">
        <v>42675</v>
      </c>
      <c r="C24">
        <f>'International reserves'!C24/'International reserves'!C$2</f>
        <v>0.97680871105614875</v>
      </c>
      <c r="D24">
        <f>'International reserves'!D24/'International reserves'!D$2</f>
        <v>1.0091070781073148</v>
      </c>
      <c r="E24">
        <f>'International reserves'!E24/'International reserves'!E$2</f>
        <v>1.1240629685398578</v>
      </c>
      <c r="F24">
        <f>'International reserves'!F24/'International reserves'!F$2</f>
        <v>1.0274278291964851</v>
      </c>
    </row>
    <row r="25" spans="2:6" x14ac:dyDescent="0.3">
      <c r="B25" s="1">
        <v>42705</v>
      </c>
      <c r="C25">
        <f>'International reserves'!C25/'International reserves'!C$2</f>
        <v>1.0218483908472082</v>
      </c>
      <c r="D25">
        <f>'International reserves'!D25/'International reserves'!D$2</f>
        <v>0.999700186828686</v>
      </c>
      <c r="E25">
        <f>'International reserves'!E25/'International reserves'!E$2</f>
        <v>1.1057129829103167</v>
      </c>
      <c r="F25">
        <f>'International reserves'!F25/'International reserves'!F$2</f>
        <v>1.0249800105920808</v>
      </c>
    </row>
    <row r="26" spans="2:6" x14ac:dyDescent="0.3">
      <c r="B26" s="1">
        <v>42736</v>
      </c>
      <c r="C26">
        <f>'International reserves'!C26/'International reserves'!C$2</f>
        <v>1.0255506361767321</v>
      </c>
      <c r="D26">
        <f>'International reserves'!D26/'International reserves'!D$2</f>
        <v>1.0081825304900482</v>
      </c>
      <c r="E26">
        <f>'International reserves'!E26/'International reserves'!E$2</f>
        <v>1.1527341414890884</v>
      </c>
      <c r="F26">
        <f>'International reserves'!F26/'International reserves'!F$2</f>
        <v>1.0331933837910241</v>
      </c>
    </row>
    <row r="27" spans="2:6" x14ac:dyDescent="0.3">
      <c r="B27" s="1">
        <v>42767</v>
      </c>
      <c r="C27">
        <f>'International reserves'!C27/'International reserves'!C$2</f>
        <v>1.0508062218102887</v>
      </c>
      <c r="D27">
        <f>'International reserves'!D27/'International reserves'!D$2</f>
        <v>1.0089214223886331</v>
      </c>
      <c r="E27">
        <f>'International reserves'!E27/'International reserves'!E$2</f>
        <v>1.1774456047402504</v>
      </c>
      <c r="F27">
        <f>'International reserves'!F27/'International reserves'!F$2</f>
        <v>1.0328047679699308</v>
      </c>
    </row>
    <row r="28" spans="2:6" x14ac:dyDescent="0.3">
      <c r="B28" s="1">
        <v>42795</v>
      </c>
      <c r="C28">
        <f>'International reserves'!C28/'International reserves'!C$2</f>
        <v>1.0684137805749772</v>
      </c>
      <c r="D28">
        <f>'International reserves'!D28/'International reserves'!D$2</f>
        <v>1.0022028136658407</v>
      </c>
      <c r="E28">
        <f>'International reserves'!E28/'International reserves'!E$2</f>
        <v>1.1637220897986726</v>
      </c>
      <c r="F28">
        <f>'International reserves'!F28/'International reserves'!F$2</f>
        <v>1.0366632658900115</v>
      </c>
    </row>
    <row r="29" spans="2:6" x14ac:dyDescent="0.3">
      <c r="B29" s="1">
        <v>42826</v>
      </c>
      <c r="C29">
        <f>'International reserves'!C29/'International reserves'!C$2</f>
        <v>1.081182061662775</v>
      </c>
      <c r="D29">
        <f>'International reserves'!D29/'International reserves'!D$2</f>
        <v>1.0160979002703701</v>
      </c>
      <c r="E29">
        <f>'International reserves'!E29/'International reserves'!E$2</f>
        <v>1.1868893801503393</v>
      </c>
      <c r="F29">
        <f>'International reserves'!F29/'International reserves'!F$2</f>
        <v>1.0402671798323049</v>
      </c>
    </row>
    <row r="30" spans="2:6" x14ac:dyDescent="0.3">
      <c r="B30" s="1">
        <v>42856</v>
      </c>
      <c r="C30">
        <f>'International reserves'!C30/'International reserves'!C$2</f>
        <v>1.0960972930407789</v>
      </c>
      <c r="D30">
        <f>'International reserves'!D30/'International reserves'!D$2</f>
        <v>1.0180948075632277</v>
      </c>
      <c r="E30">
        <f>'International reserves'!E30/'International reserves'!E$2</f>
        <v>1.1848187729731909</v>
      </c>
      <c r="F30">
        <f>'International reserves'!F30/'International reserves'!F$2</f>
        <v>1.04555317280732</v>
      </c>
    </row>
    <row r="31" spans="2:6" x14ac:dyDescent="0.3">
      <c r="B31" s="1">
        <v>42887</v>
      </c>
      <c r="C31">
        <f>'International reserves'!C31/'International reserves'!C$2</f>
        <v>1.079971678999003</v>
      </c>
      <c r="D31">
        <f>'International reserves'!D31/'International reserves'!D$2</f>
        <v>1.0074981357971422</v>
      </c>
      <c r="E31">
        <f>'International reserves'!E31/'International reserves'!E$2</f>
        <v>1.1938715509370201</v>
      </c>
      <c r="F31">
        <f>'International reserves'!F31/'International reserves'!F$2</f>
        <v>1.0514339281909519</v>
      </c>
    </row>
    <row r="32" spans="2:6" x14ac:dyDescent="0.3">
      <c r="B32" s="1">
        <v>42917</v>
      </c>
      <c r="C32">
        <f>'International reserves'!C32/'International reserves'!C$2</f>
        <v>1.1208115904964364</v>
      </c>
      <c r="D32">
        <f>'International reserves'!D32/'International reserves'!D$2</f>
        <v>1.0043271314421844</v>
      </c>
      <c r="E32">
        <f>'International reserves'!E32/'International reserves'!E$2</f>
        <v>1.2249237741567351</v>
      </c>
      <c r="F32">
        <f>'International reserves'!F32/'International reserves'!F$2</f>
        <v>1.0603215988863968</v>
      </c>
    </row>
    <row r="33" spans="2:6" x14ac:dyDescent="0.3">
      <c r="B33" s="1">
        <v>42948</v>
      </c>
      <c r="C33">
        <f>'International reserves'!C33/'International reserves'!C$2</f>
        <v>1.1289333218371935</v>
      </c>
      <c r="D33">
        <f>'International reserves'!D33/'International reserves'!D$2</f>
        <v>1.0125055191976351</v>
      </c>
      <c r="E33">
        <f>'International reserves'!E33/'International reserves'!E$2</f>
        <v>1.2669571899295993</v>
      </c>
      <c r="F33">
        <f>'International reserves'!F33/'International reserves'!F$2</f>
        <v>1.0632823540182674</v>
      </c>
    </row>
    <row r="34" spans="2:6" x14ac:dyDescent="0.3">
      <c r="B34" s="1">
        <v>42979</v>
      </c>
      <c r="C34">
        <f>'International reserves'!C34/'International reserves'!C$2</f>
        <v>1.1351703993240385</v>
      </c>
      <c r="D34">
        <f>'International reserves'!D34/'International reserves'!D$2</f>
        <v>1.0030507618344093</v>
      </c>
      <c r="E34">
        <f>'International reserves'!E34/'International reserves'!E$2</f>
        <v>1.2823357365167487</v>
      </c>
      <c r="F34">
        <f>'International reserves'!F34/'International reserves'!F$2</f>
        <v>1.062884555964122</v>
      </c>
    </row>
    <row r="35" spans="2:6" x14ac:dyDescent="0.3">
      <c r="B35" s="1">
        <v>43009</v>
      </c>
      <c r="C35">
        <f>'International reserves'!C35/'International reserves'!C$2</f>
        <v>1.1097206620626323</v>
      </c>
      <c r="D35">
        <f>'International reserves'!D35/'International reserves'!D$2</f>
        <v>0.99632191676048698</v>
      </c>
      <c r="E35">
        <f>'International reserves'!E35/'International reserves'!E$2</f>
        <v>1.2901935176779809</v>
      </c>
      <c r="F35">
        <f>'International reserves'!F35/'International reserves'!F$2</f>
        <v>1.0622897810470548</v>
      </c>
    </row>
    <row r="36" spans="2:6" x14ac:dyDescent="0.3">
      <c r="B36" s="1">
        <v>43040</v>
      </c>
      <c r="C36">
        <f>'International reserves'!C36/'International reserves'!C$2</f>
        <v>1.1041845634469931</v>
      </c>
      <c r="D36">
        <f>'International reserves'!D36/'International reserves'!D$2</f>
        <v>0.99496826582670128</v>
      </c>
      <c r="E36">
        <f>'International reserves'!E36/'International reserves'!E$2</f>
        <v>1.30658298279</v>
      </c>
      <c r="F36">
        <f>'International reserves'!F36/'International reserves'!F$2</f>
        <v>1.0700694852874422</v>
      </c>
    </row>
    <row r="37" spans="2:6" x14ac:dyDescent="0.3">
      <c r="B37" s="1">
        <v>43070</v>
      </c>
      <c r="C37">
        <f>'International reserves'!C37/'International reserves'!C$2</f>
        <v>1.1421724391415364</v>
      </c>
      <c r="D37">
        <f>'International reserves'!D37/'International reserves'!D$2</f>
        <v>1.0105792341965243</v>
      </c>
      <c r="E37">
        <f>'International reserves'!E37/'International reserves'!E$2</f>
        <v>1.3032967898382615</v>
      </c>
      <c r="F37">
        <f>'International reserves'!F37/'International reserves'!F$2</f>
        <v>1.0757527833016767</v>
      </c>
    </row>
    <row r="38" spans="2:6" x14ac:dyDescent="0.3">
      <c r="B38" s="1">
        <v>43101</v>
      </c>
      <c r="C38">
        <f>'International reserves'!C38/'International reserves'!C$2</f>
        <v>1.1569453254760689</v>
      </c>
      <c r="D38">
        <f>'International reserves'!D38/'International reserves'!D$2</f>
        <v>1.0062938082309667</v>
      </c>
      <c r="E38">
        <f>'International reserves'!E38/'International reserves'!E$2</f>
        <v>1.3811669198788519</v>
      </c>
      <c r="F38">
        <f>'International reserves'!F38/'International reserves'!F$2</f>
        <v>1.0938162618265486</v>
      </c>
    </row>
    <row r="39" spans="2:6" x14ac:dyDescent="0.3">
      <c r="B39" s="1">
        <v>43132</v>
      </c>
      <c r="C39">
        <f>'International reserves'!C39/'International reserves'!C$2</f>
        <v>1.1219620279995255</v>
      </c>
      <c r="D39">
        <f>'International reserves'!D39/'International reserves'!D$2</f>
        <v>0.99647654991663337</v>
      </c>
      <c r="E39">
        <f>'International reserves'!E39/'International reserves'!E$2</f>
        <v>1.3687479736751977</v>
      </c>
      <c r="F39">
        <f>'International reserves'!F39/'International reserves'!F$2</f>
        <v>1.0910712840160959</v>
      </c>
    </row>
    <row r="40" spans="2:6" x14ac:dyDescent="0.3">
      <c r="B40" s="1">
        <v>43160</v>
      </c>
      <c r="C40">
        <f>'International reserves'!C40/'International reserves'!C$2</f>
        <v>1.1033290982772375</v>
      </c>
      <c r="D40">
        <f>'International reserves'!D40/'International reserves'!D$2</f>
        <v>0.99746288550557527</v>
      </c>
      <c r="E40">
        <f>'International reserves'!E40/'International reserves'!E$2</f>
        <v>1.3872765686367803</v>
      </c>
      <c r="F40">
        <f>'International reserves'!F40/'International reserves'!F$2</f>
        <v>1.0965948709364155</v>
      </c>
    </row>
    <row r="41" spans="2:6" x14ac:dyDescent="0.3">
      <c r="B41" s="1">
        <v>43191</v>
      </c>
      <c r="C41">
        <f>'International reserves'!C41/'International reserves'!C$2</f>
        <v>1.0933772881216237</v>
      </c>
      <c r="D41">
        <f>'International reserves'!D41/'International reserves'!D$2</f>
        <v>0.98628276592339648</v>
      </c>
      <c r="E41">
        <f>'International reserves'!E41/'International reserves'!E$2</f>
        <v>1.384300046691928</v>
      </c>
      <c r="F41">
        <f>'International reserves'!F41/'International reserves'!F$2</f>
        <v>1.1012644647065206</v>
      </c>
    </row>
    <row r="42" spans="2:6" x14ac:dyDescent="0.3">
      <c r="B42" s="1">
        <v>43221</v>
      </c>
      <c r="C42">
        <f>'International reserves'!C42/'International reserves'!C$2</f>
        <v>1.0763610746896344</v>
      </c>
      <c r="D42">
        <f>'International reserves'!D42/'International reserves'!D$2</f>
        <v>0.98124769919602095</v>
      </c>
      <c r="E42">
        <f>'International reserves'!E42/'International reserves'!E$2</f>
        <v>1.3675798068767295</v>
      </c>
      <c r="F42">
        <f>'International reserves'!F42/'International reserves'!F$2</f>
        <v>1.1028526258036302</v>
      </c>
    </row>
    <row r="43" spans="2:6" x14ac:dyDescent="0.3">
      <c r="B43" s="1">
        <v>43252</v>
      </c>
      <c r="C43">
        <f>'International reserves'!C43/'International reserves'!C$2</f>
        <v>1.0505560431478995</v>
      </c>
      <c r="D43">
        <f>'International reserves'!D43/'International reserves'!D$2</f>
        <v>0.9604677869937619</v>
      </c>
      <c r="E43">
        <f>'International reserves'!E43/'International reserves'!E$2</f>
        <v>1.330502542705871</v>
      </c>
      <c r="F43">
        <f>'International reserves'!F43/'International reserves'!F$2</f>
        <v>1.1064360648970382</v>
      </c>
    </row>
    <row r="44" spans="2:6" x14ac:dyDescent="0.3">
      <c r="B44" s="1">
        <v>43282</v>
      </c>
      <c r="C44">
        <f>'International reserves'!C44/'International reserves'!C$2</f>
        <v>1.0374395278590729</v>
      </c>
      <c r="D44">
        <f>'International reserves'!D44/'International reserves'!D$2</f>
        <v>0.95051368512831047</v>
      </c>
      <c r="E44">
        <f>'International reserves'!E44/'International reserves'!E$2</f>
        <v>1.322241410715183</v>
      </c>
      <c r="F44">
        <f>'International reserves'!F44/'International reserves'!F$2</f>
        <v>1.1123812437332765</v>
      </c>
    </row>
    <row r="45" spans="2:6" x14ac:dyDescent="0.3">
      <c r="B45" s="1">
        <v>43313</v>
      </c>
      <c r="C45">
        <f>'International reserves'!C45/'International reserves'!C$2</f>
        <v>1.0345322611509418</v>
      </c>
      <c r="D45">
        <f>'International reserves'!D45/'International reserves'!D$2</f>
        <v>0.96553283133156775</v>
      </c>
      <c r="E45">
        <f>'International reserves'!E45/'International reserves'!E$2</f>
        <v>1.3159935584827498</v>
      </c>
      <c r="F45">
        <f>'International reserves'!F45/'International reserves'!F$2</f>
        <v>1.1086713381055762</v>
      </c>
    </row>
    <row r="46" spans="2:6" x14ac:dyDescent="0.3">
      <c r="B46" s="1">
        <v>43344</v>
      </c>
      <c r="C46">
        <f>'International reserves'!C46/'International reserves'!C$2</f>
        <v>1.0069734944350732</v>
      </c>
      <c r="D46">
        <f>'International reserves'!D46/'International reserves'!D$2</f>
        <v>0.92842565672630739</v>
      </c>
      <c r="E46">
        <f>'International reserves'!E46/'International reserves'!E$2</f>
        <v>1.3154877131770901</v>
      </c>
      <c r="F46">
        <f>'International reserves'!F46/'International reserves'!F$2</f>
        <v>1.1138373588396231</v>
      </c>
    </row>
    <row r="47" spans="2:6" x14ac:dyDescent="0.3">
      <c r="B47" s="1">
        <v>43374</v>
      </c>
      <c r="C47">
        <f>'International reserves'!C47/'International reserves'!C$2</f>
        <v>1.0090210684637586</v>
      </c>
      <c r="D47">
        <f>'International reserves'!D47/'International reserves'!D$2</f>
        <v>0.92560233116155355</v>
      </c>
      <c r="E47">
        <f>'International reserves'!E47/'International reserves'!E$2</f>
        <v>1.2982926401952968</v>
      </c>
      <c r="F47">
        <f>'International reserves'!F47/'International reserves'!F$2</f>
        <v>1.113209122487604</v>
      </c>
    </row>
    <row r="48" spans="2:6" x14ac:dyDescent="0.3">
      <c r="B48" s="1">
        <v>43405</v>
      </c>
      <c r="C48">
        <f>'International reserves'!C48/'International reserves'!C$2</f>
        <v>1.0274473059128606</v>
      </c>
      <c r="D48">
        <f>'International reserves'!D48/'International reserves'!D$2</f>
        <v>0.9376351813619318</v>
      </c>
      <c r="E48">
        <f>'International reserves'!E48/'International reserves'!E$2</f>
        <v>1.3070975140682193</v>
      </c>
      <c r="F48">
        <f>'International reserves'!F48/'International reserves'!F$2</f>
        <v>1.1138795829950747</v>
      </c>
    </row>
    <row r="49" spans="2:6" x14ac:dyDescent="0.3">
      <c r="B49" s="1">
        <v>43435</v>
      </c>
      <c r="C49">
        <f>'International reserves'!C49/'International reserves'!C$2</f>
        <v>1.057243796209749</v>
      </c>
      <c r="D49">
        <f>'International reserves'!D49/'International reserves'!D$2</f>
        <v>0.98113611893731179</v>
      </c>
      <c r="E49">
        <f>'International reserves'!E49/'International reserves'!E$2</f>
        <v>1.323105697155138</v>
      </c>
      <c r="F49">
        <f>'International reserves'!F49/'International reserves'!F$2</f>
        <v>1.1158421928466535</v>
      </c>
    </row>
    <row r="50" spans="2:6" x14ac:dyDescent="0.3">
      <c r="B50" s="1">
        <v>43466</v>
      </c>
      <c r="C50">
        <f>'International reserves'!C50/'International reserves'!C$2</f>
        <v>1.0513693751704494</v>
      </c>
      <c r="D50">
        <f>'International reserves'!D50/'International reserves'!D$2</f>
        <v>1.0219422308550163</v>
      </c>
      <c r="E50">
        <f>'International reserves'!E50/'International reserves'!E$2</f>
        <v>1.3505770477614607</v>
      </c>
      <c r="F50">
        <f>'International reserves'!F50/'International reserves'!F$2</f>
        <v>1.120897669510269</v>
      </c>
    </row>
    <row r="51" spans="2:6" x14ac:dyDescent="0.3">
      <c r="B51" s="1">
        <v>43497</v>
      </c>
      <c r="C51">
        <f>'International reserves'!C51/'International reserves'!C$2</f>
        <v>1.0798371128310582</v>
      </c>
      <c r="D51">
        <f>'International reserves'!D51/'International reserves'!D$2</f>
        <v>1.0255816401163766</v>
      </c>
      <c r="E51">
        <f>'International reserves'!E51/'International reserves'!E$2</f>
        <v>1.3674982874157438</v>
      </c>
      <c r="F51">
        <f>'International reserves'!F51/'International reserves'!F$2</f>
        <v>1.1185143137792806</v>
      </c>
    </row>
    <row r="52" spans="2:6" x14ac:dyDescent="0.3">
      <c r="B52" s="1">
        <v>43525</v>
      </c>
      <c r="C52">
        <f>'International reserves'!C52/'International reserves'!C$2</f>
        <v>1.0918585974875774</v>
      </c>
      <c r="D52">
        <f>'International reserves'!D52/'International reserves'!D$2</f>
        <v>1.0358943632085655</v>
      </c>
      <c r="E52">
        <f>'International reserves'!E52/'International reserves'!E$2</f>
        <v>1.3651971480928082</v>
      </c>
      <c r="F52">
        <f>'International reserves'!F52/'International reserves'!F$2</f>
        <v>1.1201357231448266</v>
      </c>
    </row>
    <row r="53" spans="2:6" x14ac:dyDescent="0.3">
      <c r="B53" s="1">
        <v>43556</v>
      </c>
      <c r="C53">
        <f>'International reserves'!C53/'International reserves'!C$2</f>
        <v>1.0897875853041714</v>
      </c>
      <c r="D53">
        <f>'International reserves'!D53/'International reserves'!D$2</f>
        <v>1.0391841138867857</v>
      </c>
      <c r="E53">
        <f>'International reserves'!E53/'International reserves'!E$2</f>
        <v>1.3543715309592834</v>
      </c>
      <c r="F53">
        <f>'International reserves'!F53/'International reserves'!F$2</f>
        <v>1.1164184835621074</v>
      </c>
    </row>
    <row r="54" spans="2:6" x14ac:dyDescent="0.3">
      <c r="B54" s="1">
        <v>43586</v>
      </c>
      <c r="C54">
        <f>'International reserves'!C54/'International reserves'!C$2</f>
        <v>1.0544433491726712</v>
      </c>
      <c r="D54">
        <f>'International reserves'!D54/'International reserves'!D$2</f>
        <v>1.0575037639811917</v>
      </c>
      <c r="E54">
        <f>'International reserves'!E54/'International reserves'!E$2</f>
        <v>1.3508665158395787</v>
      </c>
      <c r="F54">
        <f>'International reserves'!F54/'International reserves'!F$2</f>
        <v>1.1106355876845944</v>
      </c>
    </row>
    <row r="55" spans="2:6" x14ac:dyDescent="0.3">
      <c r="B55" s="1">
        <v>43617</v>
      </c>
      <c r="C55">
        <f>'International reserves'!C55/'International reserves'!C$2</f>
        <v>1.0829698170660258</v>
      </c>
      <c r="D55">
        <f>'International reserves'!D55/'International reserves'!D$2</f>
        <v>1.0522271194765249</v>
      </c>
      <c r="E55">
        <f>'International reserves'!E55/'International reserves'!E$2</f>
        <v>1.3885229091882856</v>
      </c>
      <c r="F55">
        <f>'International reserves'!F55/'International reserves'!F$2</f>
        <v>1.113704605880347</v>
      </c>
    </row>
    <row r="56" spans="2:6" x14ac:dyDescent="0.3">
      <c r="B56" s="1">
        <v>43647</v>
      </c>
      <c r="C56">
        <f>'International reserves'!C56/'International reserves'!C$2</f>
        <v>1.1011330842788138</v>
      </c>
      <c r="D56">
        <f>'International reserves'!D56/'International reserves'!D$2</f>
        <v>1.05525261850517</v>
      </c>
      <c r="E56">
        <f>'International reserves'!E56/'International reserves'!E$2</f>
        <v>1.4049778729674582</v>
      </c>
      <c r="F56">
        <f>'International reserves'!F56/'International reserves'!F$2</f>
        <v>1.1138043681675427</v>
      </c>
    </row>
    <row r="57" spans="2:6" x14ac:dyDescent="0.3">
      <c r="B57" s="1">
        <v>43678</v>
      </c>
      <c r="C57">
        <f>'International reserves'!C57/'International reserves'!C$2</f>
        <v>1.1033857394254172</v>
      </c>
      <c r="D57">
        <f>'International reserves'!D57/'International reserves'!D$2</f>
        <v>1.0658483827453351</v>
      </c>
      <c r="E57">
        <f>'International reserves'!E57/'International reserves'!E$2</f>
        <v>1.4165837477989907</v>
      </c>
      <c r="F57">
        <f>'International reserves'!F57/'International reserves'!F$2</f>
        <v>1.10922148975543</v>
      </c>
    </row>
    <row r="58" spans="2:6" x14ac:dyDescent="0.3">
      <c r="B58" s="1">
        <v>43709</v>
      </c>
      <c r="C58">
        <f>'International reserves'!C58/'International reserves'!C$2</f>
        <v>1.0855483130565982</v>
      </c>
      <c r="D58">
        <f>'International reserves'!D58/'International reserves'!D$2</f>
        <v>1.0602826113877275</v>
      </c>
      <c r="E58">
        <f>'International reserves'!E58/'International reserves'!E$2</f>
        <v>1.4189063768614441</v>
      </c>
      <c r="F58">
        <f>'International reserves'!F58/'International reserves'!F$2</f>
        <v>1.1143691397246491</v>
      </c>
    </row>
    <row r="59" spans="2:6" x14ac:dyDescent="0.3">
      <c r="B59" s="1">
        <v>43739</v>
      </c>
      <c r="C59">
        <f>'International reserves'!C59/'International reserves'!C$2</f>
        <v>1.1066804039800464</v>
      </c>
      <c r="D59">
        <f>'International reserves'!D59/'International reserves'!D$2</f>
        <v>1.0634083932076397</v>
      </c>
      <c r="E59">
        <f>'International reserves'!E59/'International reserves'!E$2</f>
        <v>1.433396123263859</v>
      </c>
      <c r="F59">
        <f>'International reserves'!F59/'International reserves'!F$2</f>
        <v>1.1228460343088029</v>
      </c>
    </row>
    <row r="60" spans="2:6" x14ac:dyDescent="0.3">
      <c r="B60" s="1">
        <v>43770</v>
      </c>
      <c r="C60">
        <f>'International reserves'!C60/'International reserves'!C$2</f>
        <v>1.1070271244347685</v>
      </c>
      <c r="D60">
        <f>'International reserves'!D60/'International reserves'!D$2</f>
        <v>1.0682837640664182</v>
      </c>
      <c r="E60">
        <f>'International reserves'!E60/'International reserves'!E$2</f>
        <v>1.422159820479606</v>
      </c>
      <c r="F60">
        <f>'International reserves'!F60/'International reserves'!F$2</f>
        <v>1.1259535939167675</v>
      </c>
    </row>
    <row r="61" spans="2:6" x14ac:dyDescent="0.3">
      <c r="B61" s="1">
        <v>43800</v>
      </c>
      <c r="C61">
        <f>'International reserves'!C61/'International reserves'!C$2</f>
        <v>1.1285049375061886</v>
      </c>
      <c r="D61">
        <f>'International reserves'!D61/'International reserves'!D$2</f>
        <v>1.0882545079484911</v>
      </c>
      <c r="E61">
        <f>'International reserves'!E61/'International reserves'!E$2</f>
        <v>1.4433297875263129</v>
      </c>
      <c r="F61">
        <f>'International reserves'!F61/'International reserves'!F$2</f>
        <v>1.1296213874973069</v>
      </c>
    </row>
    <row r="62" spans="2:6" x14ac:dyDescent="0.3">
      <c r="B62" s="1">
        <v>43831</v>
      </c>
      <c r="C62">
        <f>'International reserves'!C62/'International reserves'!C$2</f>
        <v>1.1500790747230476</v>
      </c>
      <c r="D62">
        <f>'International reserves'!D62/'International reserves'!D$2</f>
        <v>1.0762248736012685</v>
      </c>
      <c r="E62">
        <f>'International reserves'!E62/'International reserves'!E$2</f>
        <v>1.4818235729703086</v>
      </c>
      <c r="F62">
        <f>'International reserves'!F62/'International reserves'!F$2</f>
        <v>1.1319783830104162</v>
      </c>
    </row>
    <row r="63" spans="2:6" x14ac:dyDescent="0.3">
      <c r="B63" s="1">
        <v>43862</v>
      </c>
      <c r="C63">
        <f>'International reserves'!C63/'International reserves'!C$2</f>
        <v>1.1371746675277909</v>
      </c>
      <c r="D63">
        <f>'International reserves'!D63/'International reserves'!D$2</f>
        <v>1.092558949717557</v>
      </c>
      <c r="E63">
        <f>'International reserves'!E63/'International reserves'!E$2</f>
        <v>1.4763325584802405</v>
      </c>
      <c r="F63">
        <f>'International reserves'!F63/'International reserves'!F$2</f>
        <v>1.1305448960231004</v>
      </c>
    </row>
    <row r="64" spans="2:6" x14ac:dyDescent="0.3">
      <c r="B64" s="1">
        <v>43891</v>
      </c>
      <c r="C64">
        <f>'International reserves'!C64/'International reserves'!C$2</f>
        <v>1.0522919069150807</v>
      </c>
      <c r="D64">
        <f>'International reserves'!D64/'International reserves'!D$2</f>
        <v>1.1009157054156831</v>
      </c>
      <c r="E64">
        <f>'International reserves'!E64/'International reserves'!E$2</f>
        <v>1.4571117236759217</v>
      </c>
      <c r="F64">
        <f>'International reserves'!F64/'International reserves'!F$2</f>
        <v>1.1053714972348858</v>
      </c>
    </row>
    <row r="65" spans="2:6" x14ac:dyDescent="0.3">
      <c r="B65" s="1">
        <v>43922</v>
      </c>
      <c r="C65">
        <f>'International reserves'!C65/'International reserves'!C$2</f>
        <v>1.1125128944708964</v>
      </c>
      <c r="D65">
        <f>'International reserves'!D65/'International reserves'!D$2</f>
        <v>1.1267000609509199</v>
      </c>
      <c r="E65">
        <f>'International reserves'!E65/'International reserves'!E$2</f>
        <v>1.5165637957983185</v>
      </c>
      <c r="F65">
        <f>'International reserves'!F65/'International reserves'!F$2</f>
        <v>1.1150880168477266</v>
      </c>
    </row>
    <row r="66" spans="2:6" x14ac:dyDescent="0.3">
      <c r="B66" s="1">
        <v>43952</v>
      </c>
      <c r="C66">
        <f>'International reserves'!C66/'International reserves'!C$2</f>
        <v>1.1363536852558815</v>
      </c>
      <c r="D66">
        <f>'International reserves'!D66/'International reserves'!D$2</f>
        <v>1.1557574541230342</v>
      </c>
      <c r="E66">
        <f>'International reserves'!E66/'International reserves'!E$2</f>
        <v>1.5264520999818496</v>
      </c>
      <c r="F66">
        <f>'International reserves'!F66/'International reserves'!F$2</f>
        <v>1.1232029039769884</v>
      </c>
    </row>
    <row r="67" spans="2:6" x14ac:dyDescent="0.3">
      <c r="B67" s="1">
        <v>43983</v>
      </c>
      <c r="C67">
        <f>'International reserves'!C67/'International reserves'!C$2</f>
        <v>1.1455813485165447</v>
      </c>
      <c r="D67">
        <f>'International reserves'!D67/'International reserves'!D$2</f>
        <v>1.1580093868175829</v>
      </c>
      <c r="E67">
        <f>'International reserves'!E67/'International reserves'!E$2</f>
        <v>1.5543580709188427</v>
      </c>
      <c r="F67">
        <f>'International reserves'!F67/'International reserves'!F$2</f>
        <v>1.1326836760336525</v>
      </c>
    </row>
    <row r="68" spans="2:6" x14ac:dyDescent="0.3">
      <c r="B68" s="1">
        <v>44013</v>
      </c>
      <c r="C68">
        <f>'International reserves'!C68/'International reserves'!C$2</f>
        <v>1.1716239451591894</v>
      </c>
      <c r="D68">
        <f>'International reserves'!D68/'International reserves'!D$2</f>
        <v>1.221573646954309</v>
      </c>
      <c r="E68">
        <f>'International reserves'!E68/'International reserves'!E$2</f>
        <v>1.6108008074222728</v>
      </c>
      <c r="F68">
        <f>'International reserves'!F68/'International reserves'!F$2</f>
        <v>1.1488968008905327</v>
      </c>
    </row>
    <row r="69" spans="2:6" x14ac:dyDescent="0.3">
      <c r="B69" s="1">
        <v>44044</v>
      </c>
      <c r="C69">
        <f>'International reserves'!C69/'International reserves'!C$2</f>
        <v>1.1890327908095566</v>
      </c>
      <c r="D69">
        <f>'International reserves'!D69/'International reserves'!D$2</f>
        <v>1.225964006856044</v>
      </c>
      <c r="E69">
        <f>'International reserves'!E69/'International reserves'!E$2</f>
        <v>1.6375841646613329</v>
      </c>
      <c r="F69">
        <f>'International reserves'!F69/'International reserves'!F$2</f>
        <v>1.1555872642363345</v>
      </c>
    </row>
    <row r="70" spans="2:6" x14ac:dyDescent="0.3">
      <c r="B70" s="1">
        <v>44075</v>
      </c>
      <c r="C70">
        <f>'International reserves'!C70/'International reserves'!C$2</f>
        <v>1.173768335472551</v>
      </c>
      <c r="D70">
        <f>'International reserves'!D70/'International reserves'!D$2</f>
        <v>1.2444042825841999</v>
      </c>
      <c r="E70">
        <f>'International reserves'!E70/'International reserves'!E$2</f>
        <v>1.6152892033168063</v>
      </c>
      <c r="F70">
        <f>'International reserves'!F70/'International reserves'!F$2</f>
        <v>1.1600815212149351</v>
      </c>
    </row>
    <row r="71" spans="2:6" x14ac:dyDescent="0.3">
      <c r="B71" s="1">
        <v>44105</v>
      </c>
      <c r="C71">
        <f>'International reserves'!C71/'International reserves'!C$2</f>
        <v>1.1599181613456029</v>
      </c>
      <c r="D71">
        <f>'International reserves'!D71/'International reserves'!D$2</f>
        <v>1.2860230272878308</v>
      </c>
      <c r="E71">
        <f>'International reserves'!E71/'International reserves'!E$2</f>
        <v>1.5989357045652377</v>
      </c>
      <c r="F71">
        <f>'International reserves'!F71/'International reserves'!F$2</f>
        <v>1.1767422615859426</v>
      </c>
    </row>
    <row r="72" spans="2:6" x14ac:dyDescent="0.3">
      <c r="B72" s="1">
        <v>44136</v>
      </c>
      <c r="C72">
        <f>'International reserves'!C72/'International reserves'!C$2</f>
        <v>1.1620523918772125</v>
      </c>
      <c r="D72">
        <f>'International reserves'!D72/'International reserves'!D$2</f>
        <v>1.2985709625674189</v>
      </c>
      <c r="E72">
        <f>'International reserves'!E72/'International reserves'!E$2</f>
        <v>1.6309924122560746</v>
      </c>
      <c r="F72">
        <f>'International reserves'!F72/'International reserves'!F$2</f>
        <v>1.2043870506541743</v>
      </c>
    </row>
    <row r="73" spans="2:6" x14ac:dyDescent="0.3">
      <c r="B73" s="1">
        <v>44166</v>
      </c>
      <c r="C73">
        <f>'International reserves'!C73/'International reserves'!C$2</f>
        <v>1.1807225289674255</v>
      </c>
      <c r="D73">
        <f>'International reserves'!D73/'International reserves'!D$2</f>
        <v>1.3642580473413326</v>
      </c>
      <c r="E73">
        <f>'International reserves'!E73/'International reserves'!E$2</f>
        <v>1.6608504107596422</v>
      </c>
      <c r="F73">
        <f>'International reserves'!F73/'International reserves'!F$2</f>
        <v>1.2231011348517478</v>
      </c>
    </row>
    <row r="74" spans="2:6" x14ac:dyDescent="0.3">
      <c r="B74" s="1">
        <v>44197</v>
      </c>
      <c r="C74">
        <f>'International reserves'!C74/'International reserves'!C$2</f>
        <v>1.2006520141227019</v>
      </c>
      <c r="D74">
        <f>'International reserves'!D74/'International reserves'!D$2</f>
        <v>1.3463727845681179</v>
      </c>
      <c r="E74">
        <f>'International reserves'!E74/'International reserves'!E$2</f>
        <v>1.6525135499563417</v>
      </c>
      <c r="F74">
        <f>'International reserves'!F74/'International reserves'!F$2</f>
        <v>1.2220981912776581</v>
      </c>
    </row>
    <row r="75" spans="2:6" x14ac:dyDescent="0.3">
      <c r="B75" s="1">
        <v>44228</v>
      </c>
      <c r="C75">
        <f>'International reserves'!C75/'International reserves'!C$2</f>
        <v>1.2091185783549021</v>
      </c>
      <c r="D75">
        <f>'International reserves'!D75/'International reserves'!D$2</f>
        <v>1.3028546475632379</v>
      </c>
      <c r="E75">
        <f>'International reserves'!E75/'International reserves'!E$2</f>
        <v>1.6337115720510109</v>
      </c>
      <c r="F75">
        <f>'International reserves'!F75/'International reserves'!F$2</f>
        <v>1.2354614279145926</v>
      </c>
    </row>
    <row r="76" spans="2:6" x14ac:dyDescent="0.3">
      <c r="B76" s="1">
        <v>44256</v>
      </c>
      <c r="C76">
        <f>'International reserves'!C76/'International reserves'!C$2</f>
        <v>1.1961238151544611</v>
      </c>
      <c r="D76">
        <f>'International reserves'!D76/'International reserves'!D$2</f>
        <v>1.2944620175359467</v>
      </c>
      <c r="E76">
        <f>'International reserves'!E76/'International reserves'!E$2</f>
        <v>1.5797858373737583</v>
      </c>
      <c r="F76">
        <f>'International reserves'!F76/'International reserves'!F$2</f>
        <v>1.2316362914532308</v>
      </c>
    </row>
    <row r="77" spans="2:6" x14ac:dyDescent="0.3">
      <c r="B77" s="1">
        <v>44287</v>
      </c>
      <c r="C77">
        <f>'International reserves'!C77/'International reserves'!C$2</f>
        <v>1.20947591224252</v>
      </c>
      <c r="D77">
        <f>'International reserves'!D77/'International reserves'!D$2</f>
        <v>1.3343714365054087</v>
      </c>
      <c r="E77">
        <f>'International reserves'!E77/'International reserves'!E$2</f>
        <v>1.6109069049685758</v>
      </c>
      <c r="F77">
        <f>'International reserves'!F77/'International reserves'!F$2</f>
        <v>1.2488592108209577</v>
      </c>
    </row>
    <row r="78" spans="2:6" x14ac:dyDescent="0.3">
      <c r="B78" s="1">
        <v>44317</v>
      </c>
      <c r="C78">
        <f>'International reserves'!C78/'International reserves'!C$2</f>
        <v>1.1847439161077049</v>
      </c>
      <c r="D78">
        <f>'International reserves'!D78/'International reserves'!D$2</f>
        <v>1.3287417809596613</v>
      </c>
      <c r="E78">
        <f>'International reserves'!E78/'International reserves'!E$2</f>
        <v>1.6199939764388813</v>
      </c>
      <c r="F78">
        <f>'International reserves'!F78/'International reserves'!F$2</f>
        <v>1.2604762768104618</v>
      </c>
    </row>
    <row r="79" spans="2:6" x14ac:dyDescent="0.3">
      <c r="B79" s="1">
        <v>44348</v>
      </c>
      <c r="C79">
        <f>'International reserves'!C79/'International reserves'!C$2</f>
        <v>1.1943650857131503</v>
      </c>
      <c r="D79">
        <f>'International reserves'!D79/'International reserves'!D$2</f>
        <v>1.3103069313610587</v>
      </c>
      <c r="E79">
        <f>'International reserves'!E79/'International reserves'!E$2</f>
        <v>1.5861792922425064</v>
      </c>
      <c r="F79">
        <f>'International reserves'!F79/'International reserves'!F$2</f>
        <v>1.2539329589039498</v>
      </c>
    </row>
    <row r="80" spans="2:6" x14ac:dyDescent="0.3">
      <c r="B80" s="1">
        <v>44378</v>
      </c>
      <c r="C80">
        <f>'International reserves'!C80/'International reserves'!C$2</f>
        <v>1.1949922603760865</v>
      </c>
      <c r="D80">
        <f>'International reserves'!D80/'International reserves'!D$2</f>
        <v>1.327512301615789</v>
      </c>
      <c r="E80">
        <f>'International reserves'!E80/'International reserves'!E$2</f>
        <v>1.5957656462836487</v>
      </c>
      <c r="F80">
        <f>'International reserves'!F80/'International reserves'!F$2</f>
        <v>1.2667554446339602</v>
      </c>
    </row>
    <row r="81" spans="2:6" x14ac:dyDescent="0.3">
      <c r="B81" s="1">
        <v>44409</v>
      </c>
      <c r="C81">
        <f>'International reserves'!C81/'International reserves'!C$2</f>
        <v>1.2623908623452751</v>
      </c>
      <c r="D81">
        <f>'International reserves'!D81/'International reserves'!D$2</f>
        <v>1.3375872433005651</v>
      </c>
      <c r="E81">
        <f>'International reserves'!E81/'International reserves'!E$2</f>
        <v>1.6214625492068389</v>
      </c>
      <c r="F81">
        <f>'International reserves'!F81/'International reserves'!F$2</f>
        <v>1.2815077845973264</v>
      </c>
    </row>
    <row r="82" spans="2:6" x14ac:dyDescent="0.3">
      <c r="B82" s="1">
        <v>44440</v>
      </c>
      <c r="C82">
        <f>'International reserves'!C82/'International reserves'!C$2</f>
        <v>1.2826767061419633</v>
      </c>
      <c r="D82">
        <f>'International reserves'!D82/'International reserves'!D$2</f>
        <v>1.3206334450833048</v>
      </c>
      <c r="E82">
        <f>'International reserves'!E82/'International reserves'!E$2</f>
        <v>1.574223469227626</v>
      </c>
      <c r="F82">
        <f>'International reserves'!F82/'International reserves'!F$2</f>
        <v>1.2814039539423414</v>
      </c>
    </row>
    <row r="83" spans="2:6" x14ac:dyDescent="0.3">
      <c r="B83" s="1">
        <v>44470</v>
      </c>
      <c r="C83">
        <f>'International reserves'!C83/'International reserves'!C$2</f>
        <v>1.2690184599887873</v>
      </c>
      <c r="D83">
        <f>'International reserves'!D83/'International reserves'!D$2</f>
        <v>1.3366480561160869</v>
      </c>
      <c r="E83">
        <f>'International reserves'!E83/'International reserves'!E$2</f>
        <v>1.5834195335684207</v>
      </c>
      <c r="F83">
        <f>'International reserves'!F83/'International reserves'!F$2</f>
        <v>1.2962967652857478</v>
      </c>
    </row>
    <row r="84" spans="2:6" x14ac:dyDescent="0.3">
      <c r="B84" s="1">
        <v>44501</v>
      </c>
      <c r="C84">
        <f>'International reserves'!C84/'International reserves'!C$2</f>
        <v>1.2726268260093943</v>
      </c>
      <c r="D84">
        <f>'International reserves'!D84/'International reserves'!D$2</f>
        <v>1.3346010007906826</v>
      </c>
      <c r="E84">
        <f>'International reserves'!E84/'International reserves'!E$2</f>
        <v>1.5635821877339784</v>
      </c>
      <c r="F84">
        <f>'International reserves'!F84/'International reserves'!F$2</f>
        <v>1.2815365901894027</v>
      </c>
    </row>
    <row r="85" spans="2:6" x14ac:dyDescent="0.3">
      <c r="B85" s="1">
        <v>44531</v>
      </c>
      <c r="C85">
        <f>'International reserves'!C85/'International reserves'!C$2</f>
        <v>1.2632963412390701</v>
      </c>
      <c r="D85">
        <f>'International reserves'!D85/'International reserves'!D$2</f>
        <v>1.3478670009276204</v>
      </c>
      <c r="E85">
        <f>'International reserves'!E85/'International reserves'!E$2</f>
        <v>1.5827563756486249</v>
      </c>
      <c r="F85">
        <f>'International reserves'!F85/'International reserves'!F$2</f>
        <v>1.2792227834847558</v>
      </c>
    </row>
    <row r="86" spans="2:6" x14ac:dyDescent="0.3">
      <c r="B86" s="1">
        <v>44562</v>
      </c>
      <c r="C86">
        <f>'International reserves'!C86/'International reserves'!C$2</f>
        <v>1.2319399754146589</v>
      </c>
      <c r="D86">
        <f>'International reserves'!D86/'International reserves'!D$2</f>
        <v>1.3341665288537872</v>
      </c>
      <c r="E86">
        <f>'International reserves'!E86/'International reserves'!E$2</f>
        <v>1.5620109274682044</v>
      </c>
      <c r="F86">
        <f>'International reserves'!F86/'International reserves'!F$2</f>
        <v>1.2747863436122637</v>
      </c>
    </row>
    <row r="87" spans="2:6" x14ac:dyDescent="0.3">
      <c r="B87" s="1">
        <v>44593</v>
      </c>
      <c r="C87">
        <f>'International reserves'!C87/'International reserves'!C$2</f>
        <v>1.2299300388285384</v>
      </c>
      <c r="D87">
        <f>'International reserves'!D87/'International reserves'!D$2</f>
        <v>1.3355618032274148</v>
      </c>
      <c r="E87">
        <f>'International reserves'!E87/'International reserves'!E$2</f>
        <v>1.5766821141863101</v>
      </c>
      <c r="F87">
        <f>'International reserves'!F87/'International reserves'!F$2</f>
        <v>1.2754850234850883</v>
      </c>
    </row>
    <row r="88" spans="2:6" x14ac:dyDescent="0.3">
      <c r="B88" s="1">
        <v>44621</v>
      </c>
      <c r="C88">
        <f>'International reserves'!C88/'International reserves'!C$2</f>
        <v>1.2088155705285335</v>
      </c>
      <c r="D88">
        <f>'International reserves'!D88/'International reserves'!D$2</f>
        <v>1.3294628989200021</v>
      </c>
      <c r="E88">
        <f>'International reserves'!E88/'International reserves'!E$2</f>
        <v>1.5598106097674984</v>
      </c>
      <c r="F88">
        <f>'International reserves'!F88/'International reserves'!F$2</f>
        <v>1.2643814404296994</v>
      </c>
    </row>
    <row r="89" spans="2:6" x14ac:dyDescent="0.3">
      <c r="B89" s="1">
        <v>44652</v>
      </c>
      <c r="C89">
        <f>'International reserves'!C89/'International reserves'!C$2</f>
        <v>1.1782495891078024</v>
      </c>
      <c r="D89">
        <f>'International reserves'!D89/'International reserves'!D$2</f>
        <v>1.3058188212155568</v>
      </c>
      <c r="E89">
        <f>'International reserves'!E89/'International reserves'!E$2</f>
        <v>1.4706606827393189</v>
      </c>
      <c r="F89">
        <f>'International reserves'!F89/'International reserves'!F$2</f>
        <v>1.240864170019611</v>
      </c>
    </row>
    <row r="90" spans="2:6" x14ac:dyDescent="0.3">
      <c r="B90" s="1">
        <v>44682</v>
      </c>
      <c r="C90">
        <f>'International reserves'!C90/'International reserves'!C$2</f>
        <v>1.1783246101710119</v>
      </c>
      <c r="D90">
        <f>'International reserves'!D90/'International reserves'!D$2</f>
        <v>1.2840936943784853</v>
      </c>
      <c r="E90">
        <f>'International reserves'!E90/'International reserves'!E$2</f>
        <v>1.4798186574819263</v>
      </c>
      <c r="F90">
        <f>'International reserves'!F90/'International reserves'!F$2</f>
        <v>1.2362544450709749</v>
      </c>
    </row>
    <row r="91" spans="2:6" x14ac:dyDescent="0.3">
      <c r="B91" s="1">
        <v>44713</v>
      </c>
      <c r="C91">
        <f>'International reserves'!C91/'International reserves'!C$2</f>
        <v>1.1863070101341555</v>
      </c>
      <c r="D91">
        <f>'International reserves'!D91/'International reserves'!D$2</f>
        <v>1.2494881471807324</v>
      </c>
      <c r="E91">
        <f>'International reserves'!E91/'International reserves'!E$2</f>
        <v>1.4302418927544898</v>
      </c>
      <c r="F91">
        <f>'International reserves'!F91/'International reserves'!F$2</f>
        <v>1.209690035362148</v>
      </c>
    </row>
    <row r="92" spans="2:6" x14ac:dyDescent="0.3">
      <c r="B92" s="1">
        <v>44743</v>
      </c>
      <c r="C92">
        <f>'International reserves'!C92/'International reserves'!C$2</f>
        <v>1.1502467847764803</v>
      </c>
      <c r="D92">
        <f>'International reserves'!D92/'International reserves'!D$2</f>
        <v>1.2369120909447224</v>
      </c>
      <c r="E92">
        <f>'International reserves'!E92/'International reserves'!E$2</f>
        <v>1.4156149723261697</v>
      </c>
      <c r="F92">
        <f>'International reserves'!F92/'International reserves'!F$2</f>
        <v>1.2110932565517925</v>
      </c>
    </row>
    <row r="93" spans="2:6" x14ac:dyDescent="0.3">
      <c r="B93" s="1">
        <v>44774</v>
      </c>
      <c r="C93">
        <f>'International reserves'!C93/'International reserves'!C$2</f>
        <v>1.1509883182872844</v>
      </c>
      <c r="D93">
        <f>'International reserves'!D93/'International reserves'!D$2</f>
        <v>1.2072187746908134</v>
      </c>
      <c r="E93">
        <f>'International reserves'!E93/'International reserves'!E$2</f>
        <v>1.3834530678565549</v>
      </c>
      <c r="F93">
        <f>'International reserves'!F93/'International reserves'!F$2</f>
        <v>1.2046811450573367</v>
      </c>
    </row>
    <row r="94" spans="2:6" x14ac:dyDescent="0.3">
      <c r="B94" s="1">
        <v>44805</v>
      </c>
      <c r="C94">
        <f>'International reserves'!C94/'International reserves'!C$2</f>
        <v>1.1396662209312027</v>
      </c>
      <c r="D94">
        <f>'International reserves'!D94/'International reserves'!D$2</f>
        <v>1.1521882334274467</v>
      </c>
      <c r="E94">
        <f>'International reserves'!E94/'International reserves'!E$2</f>
        <v>1.2832369544252167</v>
      </c>
      <c r="F94">
        <f>'International reserves'!F94/'International reserves'!F$2</f>
        <v>1.1499791287351666</v>
      </c>
    </row>
    <row r="95" spans="2:6" x14ac:dyDescent="0.3">
      <c r="B95" s="1">
        <v>44835</v>
      </c>
      <c r="C95">
        <f>'International reserves'!C95/'International reserves'!C$2</f>
        <v>1.1347972966965139</v>
      </c>
      <c r="D95">
        <f>'International reserves'!D95/'International reserves'!D$2</f>
        <v>1.1649224610313285</v>
      </c>
      <c r="E95">
        <f>'International reserves'!E95/'International reserves'!E$2</f>
        <v>1.2990795249686646</v>
      </c>
      <c r="F95">
        <f>'International reserves'!F95/'International reserves'!F$2</f>
        <v>1.1420002290581019</v>
      </c>
    </row>
    <row r="96" spans="2:6" x14ac:dyDescent="0.3">
      <c r="B96" s="1">
        <v>44866</v>
      </c>
      <c r="C96">
        <f>'International reserves'!C96/'International reserves'!C$2</f>
        <v>1.1665376312326003</v>
      </c>
      <c r="D96">
        <f>'International reserves'!D96/'International reserves'!D$2</f>
        <v>1.1784925618446316</v>
      </c>
      <c r="E96">
        <f>'International reserves'!E96/'International reserves'!E$2</f>
        <v>1.3556327985154837</v>
      </c>
      <c r="F96">
        <f>'International reserves'!F96/'International reserves'!F$2</f>
        <v>1.1479087933150205</v>
      </c>
    </row>
    <row r="97" spans="2:6" x14ac:dyDescent="0.3">
      <c r="B97" s="1">
        <v>44896</v>
      </c>
      <c r="C97">
        <f>'International reserves'!C97/'International reserves'!C$2</f>
        <v>1.1942758988179922</v>
      </c>
      <c r="D97">
        <f>'International reserves'!D97/'International reserves'!D$2</f>
        <v>1.1912035689385452</v>
      </c>
      <c r="E97">
        <f>'International reserves'!E97/'International reserves'!E$2</f>
        <v>1.3938254059035402</v>
      </c>
      <c r="F97">
        <f>'International reserves'!F97/'International reserves'!F$2</f>
        <v>1.1676070668864955</v>
      </c>
    </row>
    <row r="98" spans="2:6" x14ac:dyDescent="0.3">
      <c r="B98" s="1">
        <v>44927</v>
      </c>
      <c r="C98">
        <f>'International reserves'!C98/'International reserves'!C$2</f>
        <v>1.2114085725819572</v>
      </c>
      <c r="D98">
        <f>'International reserves'!D98/'International reserves'!D$2</f>
        <v>1.2471569339998219</v>
      </c>
      <c r="E98">
        <f>'International reserves'!E98/'International reserves'!E$2</f>
        <v>1.4507948340467733</v>
      </c>
      <c r="F98">
        <f>'International reserves'!F98/'International reserves'!F$2</f>
        <v>1.1864844067248641</v>
      </c>
    </row>
    <row r="99" spans="2:6" x14ac:dyDescent="0.3">
      <c r="B99" s="1">
        <v>44958</v>
      </c>
      <c r="C99">
        <f>'International reserves'!C99/'International reserves'!C$2</f>
        <v>1.2222811829239204</v>
      </c>
      <c r="D99">
        <f>'International reserves'!D99/'International reserves'!D$2</f>
        <v>1.2168114736410449</v>
      </c>
      <c r="E99">
        <f>'International reserves'!E99/'International reserves'!E$2</f>
        <v>1.3989619040320993</v>
      </c>
      <c r="F99">
        <f>'International reserves'!F99/'International reserves'!F$2</f>
        <v>1.173661715179152</v>
      </c>
    </row>
    <row r="100" spans="2:6" x14ac:dyDescent="0.3">
      <c r="B100" s="1">
        <v>44986</v>
      </c>
      <c r="C100">
        <f>'International reserves'!C100/'International reserves'!C$2</f>
        <v>1.2622755076788996</v>
      </c>
      <c r="D100">
        <f>'International reserves'!D100/'International reserves'!D$2</f>
        <v>1.2580938029338717</v>
      </c>
      <c r="E100">
        <f>'International reserves'!E100/'International reserves'!E$2</f>
        <v>1.4443280953058366</v>
      </c>
      <c r="F100">
        <f>'International reserves'!F100/'International reserves'!F$2</f>
        <v>1.1751400411644233</v>
      </c>
    </row>
    <row r="101" spans="2:6" x14ac:dyDescent="0.3">
      <c r="B101" s="1">
        <v>45017</v>
      </c>
      <c r="C101">
        <f>'International reserves'!C101/'International reserves'!C$2</f>
        <v>1.2526874252665903</v>
      </c>
      <c r="D101">
        <f>'International reserves'!D101/'International reserves'!D$2</f>
        <v>1.2607246714375637</v>
      </c>
      <c r="E101">
        <f>'International reserves'!E101/'International reserves'!E$2</f>
        <v>1.437660807109578</v>
      </c>
      <c r="F101">
        <f>'International reserves'!F101/'International reserves'!F$2</f>
        <v>1.1767058033541871</v>
      </c>
    </row>
    <row r="102" spans="2:6" x14ac:dyDescent="0.3">
      <c r="B102" s="1">
        <v>45047</v>
      </c>
      <c r="C102">
        <f>'International reserves'!C102/'International reserves'!C$2</f>
        <v>1.2093875719234721</v>
      </c>
      <c r="D102">
        <f>'International reserves'!D102/'International reserves'!D$2</f>
        <v>1.2462044839669799</v>
      </c>
      <c r="E102">
        <f>'International reserves'!E102/'International reserves'!E$2</f>
        <v>1.420525442146565</v>
      </c>
      <c r="F102">
        <f>'International reserves'!F102/'International reserves'!F$2</f>
        <v>1.1608356647053077</v>
      </c>
    </row>
    <row r="103" spans="2:6" x14ac:dyDescent="0.3">
      <c r="B103" s="1">
        <v>45078</v>
      </c>
      <c r="C103">
        <f>'International reserves'!C103/'International reserves'!C$2</f>
        <v>1.1942604098091338</v>
      </c>
      <c r="D103">
        <f>'International reserves'!D103/'International reserves'!D$2</f>
        <v>1.2313142050573775</v>
      </c>
      <c r="E103">
        <f>'International reserves'!E103/'International reserves'!E$2</f>
        <v>1.4040886223989615</v>
      </c>
      <c r="F103">
        <f>'International reserves'!F103/'International reserves'!F$2</f>
        <v>1.1621329799265778</v>
      </c>
    </row>
    <row r="104" spans="2:6" x14ac:dyDescent="0.3">
      <c r="B104" s="1">
        <v>45108</v>
      </c>
      <c r="C104">
        <f>'International reserves'!C104/'International reserves'!C$2</f>
        <v>1.1950922125401851</v>
      </c>
      <c r="D104">
        <f>'International reserves'!D104/'International reserves'!D$2</f>
        <v>1.2383104365455091</v>
      </c>
      <c r="E104">
        <f>'International reserves'!E104/'International reserves'!E$2</f>
        <v>1.4201114751284254</v>
      </c>
      <c r="F104">
        <f>'International reserves'!F104/'International reserves'!F$2</f>
        <v>1.1632387941817406</v>
      </c>
    </row>
    <row r="105" spans="2:6" x14ac:dyDescent="0.3">
      <c r="B105" s="1">
        <v>45139</v>
      </c>
      <c r="C105">
        <f>'International reserves'!C105/'International reserves'!C$2</f>
        <v>1.1900588045343368</v>
      </c>
      <c r="D105">
        <f>'International reserves'!D105/'International reserves'!D$2</f>
        <v>1.2335586896374231</v>
      </c>
      <c r="E105">
        <f>'International reserves'!E105/'International reserves'!E$2</f>
        <v>1.3957570375197341</v>
      </c>
      <c r="F105">
        <f>'International reserves'!F105/'International reserves'!F$2</f>
        <v>1.1534726810167559</v>
      </c>
    </row>
    <row r="106" spans="2:6" x14ac:dyDescent="0.3">
      <c r="B106" s="1">
        <v>45170</v>
      </c>
      <c r="C106">
        <f>'International reserves'!C106/'International reserves'!C$2</f>
        <v>1.1717939846570706</v>
      </c>
      <c r="D106">
        <f>'International reserves'!D106/'International reserves'!D$2</f>
        <v>1.2155704670518293</v>
      </c>
      <c r="E106">
        <f>'International reserves'!E106/'International reserves'!E$2</f>
        <v>1.3624123609496432</v>
      </c>
      <c r="F106">
        <f>'International reserves'!F106/'International reserves'!F$2</f>
        <v>1.1418789447526803</v>
      </c>
    </row>
    <row r="107" spans="2:6" x14ac:dyDescent="0.3">
      <c r="B107" s="1">
        <v>45200</v>
      </c>
      <c r="C107">
        <f>'International reserves'!C107/'International reserves'!C$2</f>
        <v>1.1534793285326401</v>
      </c>
      <c r="D107">
        <f>'International reserves'!D107/'International reserves'!D$2</f>
        <v>1.2517366105274845</v>
      </c>
      <c r="E107">
        <f>'International reserves'!E107/'International reserves'!E$2</f>
        <v>1.3571053603967649</v>
      </c>
      <c r="F107">
        <f>'International reserves'!F107/'International reserves'!F$2</f>
        <v>1.1384347372962449</v>
      </c>
    </row>
    <row r="108" spans="2:6" x14ac:dyDescent="0.3">
      <c r="B108" s="1">
        <v>45231</v>
      </c>
      <c r="C108">
        <f>'International reserves'!C108/'International reserves'!C$2</f>
        <v>1.1967068095709046</v>
      </c>
      <c r="D108">
        <f>'International reserves'!D108/'International reserves'!D$2</f>
        <v>1.2726120752500154</v>
      </c>
      <c r="E108">
        <f>'International reserves'!E108/'International reserves'!E$2</f>
        <v>1.4096168257196924</v>
      </c>
      <c r="F108">
        <f>'International reserves'!F108/'International reserves'!F$2</f>
        <v>1.1499211500717488</v>
      </c>
    </row>
    <row r="109" spans="2:6" x14ac:dyDescent="0.3">
      <c r="B109" s="1">
        <v>45261</v>
      </c>
      <c r="C109">
        <f>'International reserves'!C109/'International reserves'!C$2</f>
        <v>1.2708515247017707</v>
      </c>
      <c r="D109">
        <f>'International reserves'!D109/'International reserves'!D$2</f>
        <v>1.285411147991576</v>
      </c>
      <c r="E109">
        <f>'International reserves'!E109/'International reserves'!E$2</f>
        <v>1.4443414137970947</v>
      </c>
      <c r="F109">
        <f>'International reserves'!F109/'International reserves'!F$2</f>
        <v>1.1584413910368299</v>
      </c>
    </row>
    <row r="110" spans="2:6" x14ac:dyDescent="0.3">
      <c r="B110" s="1">
        <v>45292</v>
      </c>
      <c r="C110">
        <f>'International reserves'!C110/'International reserves'!C$2</f>
        <v>1.2596510494755377</v>
      </c>
      <c r="D110">
        <f>'International reserves'!D110/'International reserves'!D$2</f>
        <v>1.2794231499320317</v>
      </c>
      <c r="E110">
        <f>'International reserves'!E110/'International reserves'!E$2</f>
        <v>1.4259573920232274</v>
      </c>
      <c r="F110">
        <f>'International reserves'!F110/'International reserves'!F$2</f>
        <v>1.1462037431543581</v>
      </c>
    </row>
    <row r="111" spans="2:6" x14ac:dyDescent="0.3">
      <c r="B111" s="1">
        <v>45323</v>
      </c>
      <c r="C111">
        <f>'International reserves'!C111/'International reserves'!C$2</f>
        <v>1.2505923532417211</v>
      </c>
      <c r="D111">
        <f>'International reserves'!D111/'International reserves'!D$2</f>
        <v>1.263622027694826</v>
      </c>
      <c r="E111">
        <f>'International reserves'!E111/'International reserves'!E$2</f>
        <v>1.4311590027757151</v>
      </c>
      <c r="F111">
        <f>'International reserves'!F111/'International reserves'!F$2</f>
        <v>1.1462105386306261</v>
      </c>
    </row>
    <row r="112" spans="2:6" x14ac:dyDescent="0.3">
      <c r="B112" s="1">
        <v>45352</v>
      </c>
      <c r="C112">
        <f>'International reserves'!C112/'International reserves'!C$2</f>
        <v>1.2140621560684575</v>
      </c>
      <c r="D112">
        <f>'International reserves'!D112/'International reserves'!D$2</f>
        <v>1.2893049082762009</v>
      </c>
      <c r="E112">
        <f>'International reserves'!E112/'International reserves'!E$2</f>
        <v>1.4371312844861259</v>
      </c>
      <c r="F112">
        <f>'International reserves'!F112/'International reserves'!F$2</f>
        <v>1.1560277066852327</v>
      </c>
    </row>
    <row r="113" spans="2:6" x14ac:dyDescent="0.3">
      <c r="B113" s="1">
        <v>45383</v>
      </c>
      <c r="C113">
        <f>'International reserves'!C113/'International reserves'!C$2</f>
        <v>1.1737406873678129</v>
      </c>
      <c r="D113">
        <f>'International reserves'!D113/'International reserves'!D$2</f>
        <v>1.2717152973965362</v>
      </c>
      <c r="E113">
        <f>'International reserves'!E113/'International reserves'!E$2</f>
        <v>1.4223751039180106</v>
      </c>
      <c r="F113">
        <f>'International reserves'!F113/'International reserves'!F$2</f>
        <v>1.1392513884374535</v>
      </c>
    </row>
    <row r="114" spans="2:6" x14ac:dyDescent="0.3">
      <c r="B114" s="1">
        <v>45413</v>
      </c>
      <c r="C114">
        <f>'International reserves'!C114/'International reserves'!C$2</f>
        <v>1.1981122217073517</v>
      </c>
      <c r="D114">
        <f>'International reserves'!D114/'International reserves'!D$2</f>
        <v>1.301050964537948</v>
      </c>
      <c r="E114">
        <f>'International reserves'!E114/'International reserves'!E$2</f>
        <v>1.4433744398593233</v>
      </c>
      <c r="F114">
        <f>'International reserves'!F114/'International reserves'!F$2</f>
        <v>1.1380790746747813</v>
      </c>
    </row>
    <row r="115" spans="2:6" x14ac:dyDescent="0.3">
      <c r="B115" s="1">
        <v>45444</v>
      </c>
      <c r="C115">
        <f>'International reserves'!C115/'International reserves'!C$2</f>
        <v>1.2092203954914171</v>
      </c>
      <c r="D115">
        <f>'International reserves'!D115/'International reserves'!D$2</f>
        <v>1.3031975043894581</v>
      </c>
      <c r="E115">
        <f>'International reserves'!E115/'International reserves'!E$2</f>
        <v>1.4433422695905838</v>
      </c>
      <c r="F115">
        <f>'International reserves'!F115/'International reserves'!F$2</f>
        <v>1.1363497183338471</v>
      </c>
    </row>
    <row r="116" spans="2:6" x14ac:dyDescent="0.3">
      <c r="B116" s="1">
        <v>45474</v>
      </c>
      <c r="C116">
        <f>'International reserves'!C116/'International reserves'!C$2</f>
        <v>1.2544480869816672</v>
      </c>
      <c r="D116">
        <f>'International reserves'!D116/'International reserves'!D$2</f>
        <v>1.3223875608152791</v>
      </c>
      <c r="E116">
        <f>'International reserves'!E116/'International reserves'!E$2</f>
        <v>1.4838493347928341</v>
      </c>
      <c r="F116">
        <f>'International reserves'!F116/'International reserves'!F$2</f>
        <v>1.1400742115467526</v>
      </c>
    </row>
    <row r="117" spans="2:6" x14ac:dyDescent="0.3">
      <c r="B117" s="1">
        <v>45505</v>
      </c>
      <c r="C117">
        <f>'International reserves'!C117/'International reserves'!C$2</f>
        <v>1.295344860333677</v>
      </c>
      <c r="D117">
        <f>'International reserves'!D117/'International reserves'!D$2</f>
        <v>1.3362601696223138</v>
      </c>
      <c r="E117">
        <f>'International reserves'!E117/'International reserves'!E$2</f>
        <v>1.5164085420813815</v>
      </c>
      <c r="F117">
        <f>'International reserves'!F117/'International reserves'!F$2</f>
        <v>1.1465947420177891</v>
      </c>
    </row>
    <row r="118" spans="2:6" x14ac:dyDescent="0.3">
      <c r="B118" s="1">
        <v>45536</v>
      </c>
      <c r="C118">
        <f>'International reserves'!C118/'International reserves'!C$2</f>
        <v>1.2896050178999949</v>
      </c>
      <c r="D118">
        <f>'International reserves'!D118/'International reserves'!D$2</f>
        <v>1.3963394864484111</v>
      </c>
      <c r="E118">
        <f>'International reserves'!E118/'International reserves'!E$2</f>
        <v>1.5635227370773479</v>
      </c>
      <c r="F118">
        <f>'International reserves'!F118/'International reserves'!F$2</f>
        <v>1.1580136692103671</v>
      </c>
    </row>
    <row r="119" spans="2:6" x14ac:dyDescent="0.3">
      <c r="B119" s="1">
        <v>45566</v>
      </c>
      <c r="C119">
        <f>'International reserves'!C119/'International reserves'!C$2</f>
        <v>1.2984647133165426</v>
      </c>
      <c r="D119">
        <f>'International reserves'!D119/'International reserves'!D$2</f>
        <v>1.3762295040874215</v>
      </c>
      <c r="E119">
        <f>'International reserves'!E119/'International reserves'!E$2</f>
        <v>1.5348469959499562</v>
      </c>
      <c r="F119">
        <f>'International reserves'!F119/'International reserves'!F$2</f>
        <v>1.1461643664727306</v>
      </c>
    </row>
    <row r="120" spans="2:6" x14ac:dyDescent="0.3">
      <c r="B120" s="1">
        <v>45597</v>
      </c>
      <c r="C120">
        <f>'International reserves'!C120/'International reserves'!C$2</f>
        <v>1.2921801857724637</v>
      </c>
      <c r="D120">
        <f>'International reserves'!D120/'International reserves'!D$2</f>
        <v>1.3440711073926783</v>
      </c>
      <c r="E120">
        <f>'International reserves'!E120/'International reserves'!E$2</f>
        <v>1.5280915612173513</v>
      </c>
      <c r="F120">
        <f>'International reserves'!F120/'International reserves'!F$2</f>
        <v>1.1452974253143484</v>
      </c>
    </row>
    <row r="121" spans="2:6" x14ac:dyDescent="0.3">
      <c r="B121" s="1">
        <v>45627</v>
      </c>
      <c r="C121">
        <f>'International reserves'!C121/'International reserves'!C$2</f>
        <v>1.3425950146077943</v>
      </c>
      <c r="D121">
        <f>'International reserves'!D121/'International reserves'!D$2</f>
        <v>1.3164243010815064</v>
      </c>
      <c r="E121">
        <f>'International reserves'!E121/'International reserves'!E$2</f>
        <v>1.5251651605511951</v>
      </c>
      <c r="F121">
        <f>'International reserves'!F121/'International reserves'!F$2</f>
        <v>1.1457176784809893</v>
      </c>
    </row>
    <row r="122" spans="2:6" x14ac:dyDescent="0.3">
      <c r="B122" s="1">
        <v>45658</v>
      </c>
      <c r="C122">
        <f>'International reserves'!C122/'International reserves'!C$2</f>
        <v>1.3416009963714499</v>
      </c>
      <c r="D122">
        <f>'International reserves'!D122/'International reserves'!D$2</f>
        <v>1.2794390077925979</v>
      </c>
      <c r="E122">
        <f>'International reserves'!E122/'International reserves'!E$2</f>
        <v>1.5575787008628903</v>
      </c>
      <c r="F122">
        <f>'International reserves'!F122/'International reserves'!F$2</f>
        <v>1.1327923356540599</v>
      </c>
    </row>
    <row r="123" spans="2:6" x14ac:dyDescent="0.3">
      <c r="B123" s="1">
        <v>45689</v>
      </c>
      <c r="C123">
        <f>'International reserves'!C123/'International reserves'!C$2</f>
        <v>1.3258921136031823</v>
      </c>
      <c r="D123">
        <f>'International reserves'!D123/'International reserves'!D$2</f>
        <v>1.3305311684687899</v>
      </c>
      <c r="E123">
        <f>'International reserves'!E123/'International reserves'!E$2</f>
        <v>1.5747713932447969</v>
      </c>
      <c r="F123">
        <f>'International reserves'!F123/'International reserves'!F$2</f>
        <v>1.1276210246872713</v>
      </c>
    </row>
    <row r="124" spans="2:6" x14ac:dyDescent="0.3">
      <c r="B124" s="1">
        <v>45717</v>
      </c>
      <c r="C124">
        <f>'International reserves'!C124/'International reserves'!C$2</f>
        <v>1.3454536342931849</v>
      </c>
      <c r="D124">
        <f>'International reserves'!D124/'International reserves'!D$2</f>
        <v>1.3215433056426433</v>
      </c>
      <c r="E124">
        <f>'International reserves'!E124/'International reserves'!E$2</f>
        <v>1.5782971260175698</v>
      </c>
      <c r="F124">
        <f>'International reserves'!F124/'International reserves'!F$2</f>
        <v>1.1291161734154738</v>
      </c>
    </row>
    <row r="125" spans="2:6" x14ac:dyDescent="0.3">
      <c r="B125" s="1">
        <v>45748</v>
      </c>
      <c r="C125">
        <f>'International reserves'!C125/'International reserves'!C$2</f>
        <v>1.2975067258885595</v>
      </c>
      <c r="D125">
        <f>'International reserves'!D125/'International reserves'!D$2</f>
        <v>1.3046705025456844</v>
      </c>
      <c r="E125">
        <f>'International reserves'!E125/'International reserves'!E$2</f>
        <v>1.652195900722808</v>
      </c>
      <c r="F125">
        <f>'International reserves'!F125/'International reserves'!F$2</f>
        <v>1.1149481831259926</v>
      </c>
    </row>
    <row r="126" spans="2:6" x14ac:dyDescent="0.3">
      <c r="B126" s="1">
        <v>45778</v>
      </c>
      <c r="C126">
        <f>'International reserves'!C126/'International reserves'!C$2</f>
        <v>1.297349670556684</v>
      </c>
      <c r="D126">
        <f>'International reserves'!D126/'International reserves'!D$2</f>
        <v>1.3030438044868489</v>
      </c>
      <c r="E126">
        <f>'International reserves'!E126/'International reserves'!E$2</f>
        <v>1.6570940171600075</v>
      </c>
      <c r="F126">
        <f>'International reserves'!F126/'International reserves'!F$2</f>
        <v>1.1148567836264511</v>
      </c>
    </row>
    <row r="127" spans="2:6" x14ac:dyDescent="0.3">
      <c r="B127" s="1">
        <v>45809</v>
      </c>
      <c r="C127">
        <f>'International reserves'!C127/'International reserves'!C$2</f>
        <v>1.2987736313175702</v>
      </c>
      <c r="D127">
        <f>'International reserves'!D127/'International reserves'!D$2</f>
        <v>1.3132229073771124</v>
      </c>
      <c r="E127">
        <f>'International reserves'!E127/'International reserves'!E$2</f>
        <v>1.6883261365225135</v>
      </c>
      <c r="F127">
        <f>'International reserves'!F127/'International reserves'!F$2</f>
        <v>1.1304464366173408</v>
      </c>
    </row>
    <row r="128" spans="2:6" x14ac:dyDescent="0.3">
      <c r="B128" s="1">
        <v>45839</v>
      </c>
      <c r="E128">
        <f>'International reserves'!E128/'International reserves'!E$2</f>
        <v>1.6849777262710328</v>
      </c>
    </row>
    <row r="129" spans="2:5" x14ac:dyDescent="0.3">
      <c r="B129" s="1">
        <v>45870</v>
      </c>
      <c r="E129">
        <f>'International reserves'!E129/'International reserves'!E$2</f>
        <v>1.7201535988783128</v>
      </c>
    </row>
    <row r="130" spans="2:5" x14ac:dyDescent="0.3">
      <c r="B130" s="1">
        <v>45901</v>
      </c>
      <c r="E130">
        <f>'International reserves'!E130/'International reserves'!E$2</f>
        <v>1.7582499528223008</v>
      </c>
    </row>
    <row r="131" spans="2:5" x14ac:dyDescent="0.3">
      <c r="B131" s="1">
        <v>45931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International reserves</vt:lpstr>
      <vt:lpstr>Base year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bruh moment</dc:creator>
  <cp:lastModifiedBy>Jonasz Kosiński</cp:lastModifiedBy>
  <dcterms:created xsi:type="dcterms:W3CDTF">2015-06-05T18:19:34Z</dcterms:created>
  <dcterms:modified xsi:type="dcterms:W3CDTF">2026-02-10T16:32:51Z</dcterms:modified>
</cp:coreProperties>
</file>